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7A880E0B-1503-4E89-9E1E-522217A7D2A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M4" i="5" a="1"/>
  <c r="E4" i="5"/>
  <c r="G4" i="5" a="1"/>
  <c r="S4" i="5" a="1"/>
  <c r="K4" i="5" a="1"/>
  <c r="O4" i="5" a="1"/>
  <c r="C4" i="5" a="1"/>
  <c r="I4" i="5" a="1"/>
  <c r="O4" i="5" l="1"/>
  <c r="K4" i="5"/>
  <c r="S4" i="5"/>
  <c r="G4" i="5"/>
  <c r="M4" i="5"/>
  <c r="I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<sst xmlns="http://schemas.openxmlformats.org/spreadsheetml/2006/main" count="50" uniqueCount="40">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</sst>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/>
        <i val="0"/>
        <strike val="0"/>
        <color theme="1"/>
      </font>
      <fill>
        <patternFill>
          <bgColor rgb="FF92D05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43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4" dataDxfId="23">
  <autoFilter ref="C1:C2" xr:uid="{00000000-0009-0000-0100-000002000000}"/>
  <tableColumns count="1">
    <tableColumn id="1" xr3:uid="{00000000-0010-0000-0100-000001000000}" uniqueName="1" name="File 1" queryTableFieldId="774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1" dataDxfId="19" headerRowBorderDxfId="20">
  <autoFilter ref="A3:S4" xr:uid="{00000000-0009-0000-0100-000003000000}"/>
  <tableColumns count="19">
    <tableColumn id="15" xr3:uid="{00000000-0010-0000-0200-00000F000000}" uniqueName="15" name="Acrobat file" queryTableFieldId="15" dataDxfId="18"/>
    <tableColumn id="27" xr3:uid="{00000000-0010-0000-0200-00001B000000}" uniqueName="27" name="Column number" queryTableFieldId="29" dataDxfId="17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6">
      <calculatedColumnFormula array="1">getDocumentName(A4,B4)</calculatedColumnFormula>
    </tableColumn>
    <tableColumn id="7" xr3:uid="{00000000-0010-0000-0200-000007000000}" uniqueName="7" name="Document title" queryTableFieldId="7" dataDxfId="15"/>
    <tableColumn id="9" xr3:uid="{00000000-0010-0000-0200-000009000000}" uniqueName="9" name="present in PDF 1" queryTableFieldId="50" dataDxfId="14">
      <calculatedColumnFormula>getDocumentTitle(D4,B4)</calculatedColumnFormula>
    </tableColumn>
    <tableColumn id="6" xr3:uid="{00000000-0010-0000-0200-000006000000}" uniqueName="6" name="Document _x000a_Revision" queryTableFieldId="6" dataDxfId="13"/>
    <tableColumn id="11" xr3:uid="{00000000-0010-0000-0200-00000B000000}" uniqueName="11" name="present in PDF 2" queryTableFieldId="51" dataDxfId="12">
      <calculatedColumnFormula array="1">getDocumentRevision(F4,B4)</calculatedColumnFormula>
    </tableColumn>
    <tableColumn id="8" xr3:uid="{00000000-0010-0000-0200-000008000000}" uniqueName="8" name="Document Revision _x000a_Date" queryTableFieldId="8" dataDxfId="11"/>
    <tableColumn id="12" xr3:uid="{00000000-0010-0000-0200-00000C000000}" uniqueName="12" name="present in PDF 3" queryTableFieldId="52" dataDxfId="10">
      <calculatedColumnFormula array="1">getDocumentRevisionDate(H4,B4)</calculatedColumnFormula>
    </tableColumn>
    <tableColumn id="4" xr3:uid="{00000000-0010-0000-0200-000004000000}" uniqueName="4" name="Document Revision Description" queryTableFieldId="45" dataDxfId="9"/>
    <tableColumn id="13" xr3:uid="{00000000-0010-0000-0200-00000D000000}" uniqueName="13" name="present in PDF 4" queryTableFieldId="53" dataDxfId="8">
      <calculatedColumnFormula array="1">getDocumentRevisionDescription(J4,I4,B4)</calculatedColumnFormula>
    </tableColumn>
    <tableColumn id="3" xr3:uid="{00000000-0010-0000-0200-000003000000}" uniqueName="3" name="Document format" queryTableFieldId="41" dataDxfId="7"/>
    <tableColumn id="17" xr3:uid="{00000000-0010-0000-0200-000011000000}" uniqueName="17" name="present in PDF 5" queryTableFieldId="54" dataDxfId="6">
      <calculatedColumnFormula array="1">getDocumentFormat(B4)</calculatedColumnFormula>
    </tableColumn>
    <tableColumn id="10" xr3:uid="{00000000-0010-0000-0200-00000A000000}" uniqueName="10" name="Document _x000a_Number of pages" queryTableFieldId="10" dataDxfId="5"/>
    <tableColumn id="18" xr3:uid="{00000000-0010-0000-0200-000012000000}" uniqueName="18" name="present in PDF 6" queryTableFieldId="55" dataDxfId="4">
      <calculatedColumnFormula array="1">getDocumentSheetsQuantity(B4)</calculatedColumnFormula>
    </tableColumn>
    <tableColumn id="14" xr3:uid="{00000000-0010-0000-0200-00000E000000}" uniqueName="14" name="Russian Title" queryTableFieldId="14" dataDxfId="3"/>
    <tableColumn id="19" xr3:uid="{00000000-0010-0000-0200-000013000000}" uniqueName="19" name="present in PDF 7" queryTableFieldId="56" dataDxfId="2"/>
    <tableColumn id="16" xr3:uid="{00000000-0010-0000-0200-000010000000}" uniqueName="16" name="Delivery Package" queryTableFieldId="16" dataDxfId="1"/>
    <tableColumn id="20" xr3:uid="{00000000-0010-0000-0200-000014000000}" uniqueName="20" name="present in PDF 8" queryTableFieldId="57" dataDxfId="0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A4" sqref="A4"/>
    </sheetView>
  </sheetViews>
  <sheetFormatPr defaultColWidth="11.42578125" defaultRowHeight="15" customHeight="1" x14ac:dyDescent="0.25"/>
  <cols>
    <col min="1" max="1" width="29.5703125" style="16" customWidth="1"/>
    <col min="2" max="5" width="16.42578125" style="16" customWidth="1"/>
    <col min="6" max="6" width="14.7109375" style="16" customWidth="1"/>
    <col min="7" max="7" width="52.140625" style="16" customWidth="1"/>
    <col min="8" max="8" width="16.140625" style="16" customWidth="1"/>
    <col min="9" max="9" width="19" style="16" customWidth="1"/>
    <col min="10" max="10" width="13.5703125" style="16" customWidth="1"/>
    <col min="11" max="11" width="17.42578125" style="16" customWidth="1"/>
    <col min="12" max="12" width="21.28515625" style="16" customWidth="1"/>
    <col min="13" max="13" width="20.7109375" style="16" customWidth="1"/>
    <col min="14" max="14" width="53.7109375" style="16" customWidth="1"/>
    <col min="15" max="15" width="48.140625" style="16" customWidth="1"/>
    <col min="16" max="16" width="18.140625" style="16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34"/>
      <c r="B4" s="34"/>
      <c r="C4" s="34"/>
      <c r="D4" s="34"/>
      <c r="E4" s="34"/>
      <c r="F4" s="35"/>
      <c r="G4" s="34"/>
      <c r="H4" s="35"/>
      <c r="I4" s="34"/>
      <c r="J4" s="34"/>
      <c r="K4" s="34"/>
      <c r="L4" s="34"/>
      <c r="M4" s="34"/>
      <c r="N4" s="34"/>
      <c r="O4" s="34"/>
      <c r="P4" s="34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Normal="100" workbookViewId="0">
      <pane xSplit="1" topLeftCell="B1" activePane="topRight" state="frozen"/>
      <selection pane="topRight" activeCell="N91" sqref="N91"/>
    </sheetView>
  </sheetViews>
  <sheetFormatPr defaultColWidth="9.140625" defaultRowHeight="15" x14ac:dyDescent="0.25"/>
  <cols>
    <col min="1" max="1" width="40.5703125" style="15" customWidth="1"/>
    <col min="2" max="2" width="1.85546875" style="31" customWidth="1"/>
    <col min="3" max="3" width="11.140625" style="28" bestFit="1" customWidth="1"/>
    <col min="4" max="16384" width="9.140625" style="30"/>
  </cols>
  <sheetData>
    <row r="1" spans="1:3" s="40" customFormat="1" x14ac:dyDescent="0.25">
      <c r="A1" s="39"/>
      <c r="C1" s="37" t="s">
        <v>39</v>
      </c>
    </row>
    <row r="2" spans="1:3" s="40" customFormat="1" x14ac:dyDescent="0.25">
      <c r="A2" s="39"/>
      <c r="C2" s="37"/>
    </row>
    <row r="3" spans="1:3" s="28" customFormat="1" x14ac:dyDescent="0.25">
      <c r="A3" s="39"/>
      <c r="B3" s="40"/>
    </row>
    <row r="4" spans="1:3" s="28" customFormat="1" x14ac:dyDescent="0.25">
      <c r="A4" s="39"/>
      <c r="B4" s="40"/>
    </row>
    <row r="5" spans="1:3" s="27" customFormat="1" x14ac:dyDescent="0.25">
      <c r="A5" s="25"/>
      <c r="B5" s="26"/>
      <c r="C5" s="29"/>
    </row>
    <row r="6" spans="1:3" x14ac:dyDescent="0.25">
      <c r="A6" s="25"/>
      <c r="B6" s="26"/>
      <c r="C6" s="29"/>
    </row>
    <row r="7" spans="1:3" x14ac:dyDescent="0.25">
      <c r="A7" s="25"/>
      <c r="B7" s="26"/>
      <c r="C7" s="29"/>
    </row>
    <row r="8" spans="1:3" x14ac:dyDescent="0.25">
      <c r="A8" s="25"/>
      <c r="B8" s="26"/>
      <c r="C8" s="29"/>
    </row>
    <row r="9" spans="1:3" x14ac:dyDescent="0.25">
      <c r="A9" s="25"/>
      <c r="B9" s="26"/>
      <c r="C9" s="29"/>
    </row>
    <row r="10" spans="1:3" x14ac:dyDescent="0.25">
      <c r="A10" s="25"/>
      <c r="B10" s="26"/>
      <c r="C10" s="29"/>
    </row>
    <row r="11" spans="1:3" x14ac:dyDescent="0.25">
      <c r="A11" s="25"/>
      <c r="B11" s="26"/>
      <c r="C11" s="29"/>
    </row>
    <row r="12" spans="1:3" x14ac:dyDescent="0.25">
      <c r="A12" s="25"/>
      <c r="B12" s="26"/>
      <c r="C12" s="29"/>
    </row>
    <row r="13" spans="1:3" x14ac:dyDescent="0.25">
      <c r="A13" s="25"/>
      <c r="B13" s="26"/>
      <c r="C13" s="29"/>
    </row>
    <row r="14" spans="1:3" x14ac:dyDescent="0.25">
      <c r="A14" s="25"/>
      <c r="B14" s="26"/>
      <c r="C14" s="29"/>
    </row>
    <row r="15" spans="1:3" x14ac:dyDescent="0.25">
      <c r="A15" s="25"/>
      <c r="B15" s="26"/>
      <c r="C15" s="29"/>
    </row>
    <row r="16" spans="1:3" x14ac:dyDescent="0.25">
      <c r="A16" s="25"/>
      <c r="B16" s="26"/>
      <c r="C16" s="29"/>
    </row>
    <row r="17" spans="1:3" x14ac:dyDescent="0.25">
      <c r="A17" s="25"/>
      <c r="B17" s="26"/>
      <c r="C17" s="29"/>
    </row>
    <row r="18" spans="1:3" x14ac:dyDescent="0.25">
      <c r="A18" s="25"/>
      <c r="B18" s="26"/>
      <c r="C18" s="29"/>
    </row>
    <row r="19" spans="1:3" x14ac:dyDescent="0.25">
      <c r="A19" s="25"/>
      <c r="B19" s="26"/>
      <c r="C19" s="29"/>
    </row>
    <row r="20" spans="1:3" x14ac:dyDescent="0.25">
      <c r="A20" s="25"/>
      <c r="B20" s="26"/>
      <c r="C20" s="29"/>
    </row>
    <row r="21" spans="1:3" x14ac:dyDescent="0.25">
      <c r="A21" s="25"/>
      <c r="B21" s="26"/>
      <c r="C21" s="29"/>
    </row>
    <row r="22" spans="1:3" x14ac:dyDescent="0.25">
      <c r="A22" s="25"/>
      <c r="B22" s="26"/>
      <c r="C22" s="29"/>
    </row>
    <row r="23" spans="1:3" x14ac:dyDescent="0.25">
      <c r="A23" s="25"/>
      <c r="B23" s="26"/>
      <c r="C23" s="29"/>
    </row>
    <row r="24" spans="1:3" x14ac:dyDescent="0.25">
      <c r="A24" s="25"/>
      <c r="B24" s="26"/>
      <c r="C24" s="29"/>
    </row>
    <row r="25" spans="1:3" x14ac:dyDescent="0.25">
      <c r="A25" s="25"/>
      <c r="B25" s="26"/>
      <c r="C25" s="29"/>
    </row>
    <row r="26" spans="1:3" x14ac:dyDescent="0.25">
      <c r="A26" s="25"/>
      <c r="B26" s="26"/>
      <c r="C26" s="29"/>
    </row>
    <row r="27" spans="1:3" x14ac:dyDescent="0.25">
      <c r="A27" s="25"/>
      <c r="B27" s="26"/>
      <c r="C27" s="29"/>
    </row>
    <row r="28" spans="1:3" x14ac:dyDescent="0.25">
      <c r="A28" s="25"/>
      <c r="B28" s="26"/>
      <c r="C28" s="29"/>
    </row>
    <row r="29" spans="1:3" x14ac:dyDescent="0.25">
      <c r="A29" s="25"/>
      <c r="B29" s="26"/>
      <c r="C29" s="29"/>
    </row>
    <row r="30" spans="1:3" x14ac:dyDescent="0.25">
      <c r="A30" s="25"/>
      <c r="B30" s="26"/>
      <c r="C30" s="29"/>
    </row>
    <row r="31" spans="1:3" x14ac:dyDescent="0.25">
      <c r="A31" s="25"/>
      <c r="B31" s="26"/>
      <c r="C31" s="29"/>
    </row>
    <row r="32" spans="1:3" x14ac:dyDescent="0.25">
      <c r="A32" s="25"/>
      <c r="B32" s="26"/>
      <c r="C32" s="29"/>
    </row>
    <row r="33" spans="1:3" x14ac:dyDescent="0.25">
      <c r="A33" s="25"/>
      <c r="B33" s="26"/>
      <c r="C33" s="29"/>
    </row>
    <row r="34" spans="1:3" x14ac:dyDescent="0.25">
      <c r="A34" s="25"/>
      <c r="B34" s="26"/>
      <c r="C34" s="29"/>
    </row>
    <row r="35" spans="1:3" x14ac:dyDescent="0.25">
      <c r="A35" s="25"/>
      <c r="B35" s="26"/>
      <c r="C35" s="29"/>
    </row>
    <row r="36" spans="1:3" x14ac:dyDescent="0.25">
      <c r="A36" s="25"/>
      <c r="B36" s="26"/>
      <c r="C36" s="29"/>
    </row>
    <row r="37" spans="1:3" x14ac:dyDescent="0.25">
      <c r="A37" s="25"/>
      <c r="B37" s="26"/>
      <c r="C37" s="29"/>
    </row>
    <row r="38" spans="1:3" x14ac:dyDescent="0.25">
      <c r="A38" s="25"/>
      <c r="B38" s="26"/>
      <c r="C38" s="29"/>
    </row>
    <row r="39" spans="1:3" x14ac:dyDescent="0.25">
      <c r="A39" s="25"/>
      <c r="B39" s="26"/>
      <c r="C39" s="29"/>
    </row>
    <row r="40" spans="1:3" x14ac:dyDescent="0.25">
      <c r="A40" s="25"/>
      <c r="B40" s="26"/>
      <c r="C40" s="29"/>
    </row>
    <row r="41" spans="1:3" x14ac:dyDescent="0.25">
      <c r="A41" s="25"/>
      <c r="B41" s="26"/>
      <c r="C41" s="29"/>
    </row>
    <row r="42" spans="1:3" x14ac:dyDescent="0.25">
      <c r="A42" s="25"/>
      <c r="B42" s="26"/>
      <c r="C42" s="29"/>
    </row>
    <row r="43" spans="1:3" x14ac:dyDescent="0.25">
      <c r="A43" s="25"/>
      <c r="B43" s="26"/>
      <c r="C43" s="29"/>
    </row>
    <row r="44" spans="1:3" x14ac:dyDescent="0.25">
      <c r="A44" s="25"/>
      <c r="B44" s="26"/>
      <c r="C44" s="29"/>
    </row>
    <row r="45" spans="1:3" x14ac:dyDescent="0.25">
      <c r="A45" s="25"/>
      <c r="B45" s="26"/>
      <c r="C45" s="29"/>
    </row>
    <row r="46" spans="1:3" x14ac:dyDescent="0.25">
      <c r="A46" s="25"/>
      <c r="B46" s="26"/>
      <c r="C46" s="29"/>
    </row>
    <row r="47" spans="1:3" x14ac:dyDescent="0.25">
      <c r="A47" s="25"/>
      <c r="B47" s="26"/>
      <c r="C47" s="29"/>
    </row>
    <row r="48" spans="1:3" x14ac:dyDescent="0.25">
      <c r="A48" s="25"/>
      <c r="B48" s="26"/>
      <c r="C48" s="29"/>
    </row>
    <row r="49" spans="1:3" x14ac:dyDescent="0.25">
      <c r="A49" s="25"/>
      <c r="B49" s="26"/>
      <c r="C49" s="29"/>
    </row>
    <row r="50" spans="1:3" x14ac:dyDescent="0.25">
      <c r="A50" s="25"/>
      <c r="B50" s="26"/>
      <c r="C50" s="29"/>
    </row>
    <row r="51" spans="1:3" x14ac:dyDescent="0.25">
      <c r="A51" s="25"/>
      <c r="B51" s="26"/>
      <c r="C51" s="29"/>
    </row>
    <row r="52" spans="1:3" x14ac:dyDescent="0.25">
      <c r="A52" s="25"/>
      <c r="B52" s="26"/>
      <c r="C52" s="29"/>
    </row>
    <row r="53" spans="1:3" x14ac:dyDescent="0.25">
      <c r="A53" s="25"/>
      <c r="B53" s="26"/>
      <c r="C53" s="29"/>
    </row>
    <row r="54" spans="1:3" x14ac:dyDescent="0.25">
      <c r="A54" s="25"/>
      <c r="B54" s="26"/>
      <c r="C54" s="29"/>
    </row>
    <row r="55" spans="1:3" x14ac:dyDescent="0.25">
      <c r="A55" s="25"/>
      <c r="B55" s="26"/>
      <c r="C55" s="29"/>
    </row>
    <row r="56" spans="1:3" x14ac:dyDescent="0.25">
      <c r="A56" s="25"/>
      <c r="B56" s="26"/>
      <c r="C56" s="29"/>
    </row>
    <row r="57" spans="1:3" x14ac:dyDescent="0.25">
      <c r="A57" s="25"/>
      <c r="B57" s="26"/>
      <c r="C57" s="29"/>
    </row>
    <row r="58" spans="1:3" x14ac:dyDescent="0.25">
      <c r="A58" s="25"/>
      <c r="B58" s="26"/>
      <c r="C58" s="29"/>
    </row>
    <row r="59" spans="1:3" x14ac:dyDescent="0.25">
      <c r="A59" s="25"/>
      <c r="B59" s="26"/>
      <c r="C59" s="29"/>
    </row>
    <row r="60" spans="1:3" x14ac:dyDescent="0.25">
      <c r="A60" s="25"/>
      <c r="B60" s="26"/>
      <c r="C60" s="29"/>
    </row>
    <row r="61" spans="1:3" x14ac:dyDescent="0.25">
      <c r="A61" s="25"/>
      <c r="B61" s="26"/>
      <c r="C61" s="29"/>
    </row>
    <row r="62" spans="1:3" x14ac:dyDescent="0.25">
      <c r="A62" s="25"/>
      <c r="B62" s="26"/>
      <c r="C62" s="29"/>
    </row>
    <row r="63" spans="1:3" x14ac:dyDescent="0.25">
      <c r="A63" s="25"/>
      <c r="B63" s="26"/>
      <c r="C63" s="29"/>
    </row>
    <row r="64" spans="1:3" x14ac:dyDescent="0.25">
      <c r="A64" s="25"/>
      <c r="B64" s="26"/>
      <c r="C64" s="29"/>
    </row>
    <row r="65" spans="1:3" x14ac:dyDescent="0.25">
      <c r="A65" s="25"/>
      <c r="B65" s="26"/>
      <c r="C65" s="29"/>
    </row>
    <row r="66" spans="1:3" x14ac:dyDescent="0.25">
      <c r="A66" s="25"/>
      <c r="B66" s="26"/>
      <c r="C66" s="29"/>
    </row>
    <row r="67" spans="1:3" x14ac:dyDescent="0.25">
      <c r="A67" s="25"/>
      <c r="B67" s="26"/>
      <c r="C67" s="29"/>
    </row>
    <row r="68" spans="1:3" x14ac:dyDescent="0.25">
      <c r="A68" s="25"/>
      <c r="B68" s="26"/>
      <c r="C68" s="29"/>
    </row>
    <row r="69" spans="1:3" x14ac:dyDescent="0.25">
      <c r="A69" s="25"/>
      <c r="B69" s="26"/>
      <c r="C69" s="29"/>
    </row>
    <row r="70" spans="1:3" x14ac:dyDescent="0.25">
      <c r="A70" s="25"/>
      <c r="B70" s="26"/>
      <c r="C70" s="29"/>
    </row>
    <row r="71" spans="1:3" x14ac:dyDescent="0.25">
      <c r="A71" s="25"/>
      <c r="B71" s="26"/>
      <c r="C71" s="29"/>
    </row>
    <row r="72" spans="1:3" x14ac:dyDescent="0.25">
      <c r="A72" s="25"/>
      <c r="B72" s="26"/>
      <c r="C72" s="29"/>
    </row>
    <row r="73" spans="1:3" x14ac:dyDescent="0.25">
      <c r="A73" s="25"/>
      <c r="B73" s="26"/>
      <c r="C73" s="29"/>
    </row>
    <row r="74" spans="1:3" x14ac:dyDescent="0.25">
      <c r="A74" s="25"/>
      <c r="B74" s="26"/>
      <c r="C74" s="29"/>
    </row>
    <row r="75" spans="1:3" x14ac:dyDescent="0.25">
      <c r="A75" s="25"/>
      <c r="B75" s="26"/>
      <c r="C75" s="29"/>
    </row>
    <row r="76" spans="1:3" x14ac:dyDescent="0.25">
      <c r="A76" s="25"/>
      <c r="B76" s="26"/>
      <c r="C76" s="29"/>
    </row>
    <row r="77" spans="1:3" x14ac:dyDescent="0.25">
      <c r="A77" s="25"/>
      <c r="B77" s="26"/>
      <c r="C77" s="29"/>
    </row>
    <row r="78" spans="1:3" x14ac:dyDescent="0.25">
      <c r="A78" s="25"/>
      <c r="B78" s="26"/>
      <c r="C78" s="29"/>
    </row>
    <row r="79" spans="1:3" x14ac:dyDescent="0.25">
      <c r="A79" s="25"/>
      <c r="B79" s="26"/>
      <c r="C79" s="29"/>
    </row>
    <row r="80" spans="1:3" x14ac:dyDescent="0.25">
      <c r="A80" s="25"/>
      <c r="B80" s="26"/>
      <c r="C80" s="29"/>
    </row>
    <row r="81" spans="1:3" x14ac:dyDescent="0.25">
      <c r="A81" s="25"/>
      <c r="B81" s="26"/>
      <c r="C81" s="29"/>
    </row>
    <row r="82" spans="1:3" x14ac:dyDescent="0.25">
      <c r="A82" s="25"/>
      <c r="B82" s="26"/>
      <c r="C82" s="29"/>
    </row>
    <row r="83" spans="1:3" x14ac:dyDescent="0.25">
      <c r="A83" s="25"/>
      <c r="B83" s="26"/>
      <c r="C83" s="29"/>
    </row>
    <row r="84" spans="1:3" x14ac:dyDescent="0.25">
      <c r="A84" s="25"/>
      <c r="B84" s="26"/>
      <c r="C84" s="29"/>
    </row>
    <row r="85" spans="1:3" x14ac:dyDescent="0.25">
      <c r="A85" s="25"/>
      <c r="B85" s="26"/>
      <c r="C85" s="29"/>
    </row>
    <row r="86" spans="1:3" x14ac:dyDescent="0.25">
      <c r="A86" s="25"/>
      <c r="B86" s="26"/>
      <c r="C86" s="29"/>
    </row>
    <row r="87" spans="1:3" x14ac:dyDescent="0.25">
      <c r="A87" s="25"/>
      <c r="B87" s="26"/>
      <c r="C87" s="29"/>
    </row>
    <row r="88" spans="1:3" x14ac:dyDescent="0.25">
      <c r="A88" s="25"/>
      <c r="B88" s="26"/>
      <c r="C88" s="29"/>
    </row>
    <row r="89" spans="1:3" x14ac:dyDescent="0.25">
      <c r="A89" s="25"/>
      <c r="B89" s="26"/>
      <c r="C89" s="29"/>
    </row>
    <row r="90" spans="1:3" x14ac:dyDescent="0.25">
      <c r="A90" s="25"/>
      <c r="B90" s="26"/>
      <c r="C90" s="29"/>
    </row>
    <row r="91" spans="1:3" x14ac:dyDescent="0.25">
      <c r="A91" s="25"/>
      <c r="B91" s="26"/>
      <c r="C91" s="29"/>
    </row>
    <row r="92" spans="1:3" x14ac:dyDescent="0.25">
      <c r="A92" s="25"/>
      <c r="B92" s="26"/>
      <c r="C92" s="29"/>
    </row>
    <row r="93" spans="1:3" x14ac:dyDescent="0.25">
      <c r="A93" s="25"/>
      <c r="B93" s="26"/>
      <c r="C93" s="29"/>
    </row>
    <row r="94" spans="1:3" x14ac:dyDescent="0.25">
      <c r="A94" s="25"/>
      <c r="B94" s="26"/>
      <c r="C94" s="29"/>
    </row>
    <row r="95" spans="1:3" x14ac:dyDescent="0.25">
      <c r="A95" s="25"/>
      <c r="B95" s="26"/>
      <c r="C95" s="29"/>
    </row>
    <row r="96" spans="1:3" x14ac:dyDescent="0.25">
      <c r="A96" s="25"/>
      <c r="B96" s="26"/>
      <c r="C96" s="29"/>
    </row>
    <row r="97" spans="1:3" x14ac:dyDescent="0.25">
      <c r="A97" s="25"/>
      <c r="B97" s="26"/>
      <c r="C97" s="29"/>
    </row>
    <row r="98" spans="1:3" x14ac:dyDescent="0.25">
      <c r="A98" s="25"/>
      <c r="B98" s="26"/>
      <c r="C98" s="29"/>
    </row>
    <row r="99" spans="1:3" x14ac:dyDescent="0.25">
      <c r="A99" s="25"/>
      <c r="B99" s="26"/>
      <c r="C99" s="29"/>
    </row>
    <row r="100" spans="1:3" x14ac:dyDescent="0.25">
      <c r="A100" s="25"/>
      <c r="B100" s="26"/>
      <c r="C100" s="29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25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40" zoomScaleNormal="40" workbookViewId="0">
      <selection activeCell="A6" sqref="A6"/>
    </sheetView>
  </sheetViews>
  <sheetFormatPr defaultColWidth="9.140625" defaultRowHeight="15" x14ac:dyDescent="0.25"/>
  <cols>
    <col min="1" max="1" width="25.140625" style="10" bestFit="1" customWidth="1"/>
    <col min="2" max="2" width="31.5703125" style="10" bestFit="1" customWidth="1"/>
    <col min="3" max="3" width="56.28515625" style="10" bestFit="1" customWidth="1"/>
    <col min="4" max="4" width="29.42578125" style="10" bestFit="1" customWidth="1"/>
    <col min="5" max="5" width="30.140625" style="10" bestFit="1" customWidth="1"/>
    <col min="6" max="6" width="24.140625" style="10" bestFit="1" customWidth="1"/>
    <col min="7" max="7" width="30.140625" style="10" bestFit="1" customWidth="1"/>
    <col min="8" max="8" width="34.85546875" style="10" bestFit="1" customWidth="1"/>
    <col min="9" max="9" width="30.140625" style="10" bestFit="1" customWidth="1"/>
    <col min="10" max="10" width="48.7109375" style="10" bestFit="1" customWidth="1"/>
    <col min="11" max="11" width="30.140625" style="10" bestFit="1" customWidth="1"/>
    <col min="12" max="12" width="32.28515625" style="10" bestFit="1" customWidth="1"/>
    <col min="13" max="13" width="30.140625" style="10" bestFit="1" customWidth="1"/>
    <col min="14" max="14" width="32.28515625" style="10" bestFit="1" customWidth="1"/>
    <col min="15" max="15" width="30.140625" style="10" bestFit="1" customWidth="1"/>
    <col min="16" max="16" width="43.28515625" style="10" hidden="1" customWidth="1"/>
    <col min="17" max="17" width="50.140625" style="10" hidden="1" customWidth="1"/>
    <col min="18" max="18" width="31.28515625" style="10" bestFit="1" customWidth="1"/>
    <col min="19" max="19" width="30.1406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14">
        <v>45</v>
      </c>
      <c r="C1" s="18" t="s">
        <v>0</v>
      </c>
      <c r="D1" s="19">
        <v>0</v>
      </c>
      <c r="E1" s="20" t="s">
        <v>1</v>
      </c>
      <c r="F1" s="19">
        <v>0</v>
      </c>
      <c r="G1" s="17"/>
    </row>
    <row r="2" spans="1:19" ht="45.75" customHeight="1" thickBot="1" x14ac:dyDescent="0.3">
      <c r="A2" s="45" t="s">
        <v>18</v>
      </c>
      <c r="B2" s="47"/>
      <c r="C2" s="46"/>
      <c r="D2" s="45" t="s">
        <v>19</v>
      </c>
      <c r="E2" s="46"/>
      <c r="F2" s="45" t="s">
        <v>20</v>
      </c>
      <c r="G2" s="47"/>
      <c r="H2" s="45" t="s">
        <v>21</v>
      </c>
      <c r="I2" s="46"/>
      <c r="J2" s="45" t="s">
        <v>22</v>
      </c>
      <c r="K2" s="46"/>
      <c r="L2" s="47" t="s">
        <v>23</v>
      </c>
      <c r="M2" s="47"/>
      <c r="N2" s="45" t="s">
        <v>24</v>
      </c>
      <c r="O2" s="46"/>
      <c r="P2" s="47" t="s">
        <v>25</v>
      </c>
      <c r="Q2" s="47"/>
      <c r="R2" s="45" t="s">
        <v>26</v>
      </c>
      <c r="S2" s="46"/>
    </row>
    <row r="3" spans="1:19" s="11" customFormat="1" ht="38.25" thickBot="1" x14ac:dyDescent="0.3">
      <c r="A3" s="21" t="s">
        <v>16</v>
      </c>
      <c r="B3" s="22" t="s">
        <v>27</v>
      </c>
      <c r="C3" s="24" t="s">
        <v>28</v>
      </c>
      <c r="D3" s="21" t="s">
        <v>8</v>
      </c>
      <c r="E3" s="24" t="s">
        <v>29</v>
      </c>
      <c r="F3" s="23" t="s">
        <v>7</v>
      </c>
      <c r="G3" s="24" t="s">
        <v>30</v>
      </c>
      <c r="H3" s="21" t="s">
        <v>9</v>
      </c>
      <c r="I3" s="24" t="s">
        <v>31</v>
      </c>
      <c r="J3" s="21" t="s">
        <v>32</v>
      </c>
      <c r="K3" s="24" t="s">
        <v>33</v>
      </c>
      <c r="L3" s="23" t="s">
        <v>10</v>
      </c>
      <c r="M3" s="24" t="s">
        <v>34</v>
      </c>
      <c r="N3" s="21" t="s">
        <v>11</v>
      </c>
      <c r="O3" s="24" t="s">
        <v>35</v>
      </c>
      <c r="P3" s="23" t="s">
        <v>15</v>
      </c>
      <c r="Q3" s="24" t="s">
        <v>36</v>
      </c>
      <c r="R3" s="21" t="s">
        <v>17</v>
      </c>
      <c r="S3" s="24" t="s">
        <v>37</v>
      </c>
    </row>
    <row r="4" spans="1:19" s="38" customFormat="1" x14ac:dyDescent="0.25">
      <c r="A4" s="33"/>
      <c r="B4" s="41" t="str">
        <f>IFERROR(MATCH(GetTable[[#This Row],[Acrobat file]],GetFileNames[],0),"0")</f>
        <v>0</v>
      </c>
      <c r="C4" s="43" t="str" cm="1">
        <f t="array" ref="C4">getDocumentName(A4,B4)</f>
        <v>wrong drawing number format!</v>
      </c>
      <c r="D4" s="33"/>
      <c r="E4" s="43" t="str">
        <f>getDocumentTitle(D4,B4)</f>
        <v>FAIL</v>
      </c>
      <c r="F4" s="36"/>
      <c r="G4" s="43" t="str" cm="1">
        <f t="array" ref="G4">getDocumentRevision(F4,B4)</f>
        <v>NOT FOUND!</v>
      </c>
      <c r="H4" s="32"/>
      <c r="I4" s="43" t="str" cm="1">
        <f t="array" ref="I4">getDocumentRevisionDate(H4,B4)</f>
        <v>NOT FOUND!</v>
      </c>
      <c r="J4" s="32" t="s">
        <v>38</v>
      </c>
      <c r="K4" s="41" t="str" cm="1">
        <f t="array" ref="K4">getDocumentRevisionDescription(J4,I4,B4)</f>
        <v>NOT FOUND!</v>
      </c>
      <c r="L4" s="32"/>
      <c r="M4" s="41" t="str" cm="1">
        <f t="array" ref="M4">getDocumentFormat(B4)</f>
        <v>NOT FOUND!</v>
      </c>
      <c r="N4" s="32"/>
      <c r="O4" s="41" t="str" cm="1">
        <f t="array" ref="O4">getDocumentSheetsQuantity(B4)</f>
        <v>NOT FOUND!</v>
      </c>
      <c r="P4" s="32"/>
      <c r="Q4" s="44"/>
      <c r="R4" s="13"/>
      <c r="S4" s="42" t="e" cm="1">
        <f t="array" ref="S4">getDocumentDPNumber(R4,B4)</f>
        <v>#VALUE!</v>
      </c>
    </row>
    <row r="5" spans="1:19" s="38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38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38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38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38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38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38" customFormat="1" x14ac:dyDescent="0.25">
      <c r="A11" s="10"/>
      <c r="B11" s="10"/>
      <c r="C11" s="10"/>
      <c r="D11" s="10"/>
      <c r="E11" s="15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38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38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38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38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38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38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38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38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38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38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38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38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38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38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38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38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38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38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38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38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3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3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3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3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3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3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38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3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3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3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3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3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3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3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3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3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3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3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3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3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3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3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3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3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3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3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3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3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3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3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3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3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3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3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3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3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3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3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3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3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3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3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3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3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purl.org/dc/elements/1.1/"/>
    <ds:schemaRef ds:uri="http://schemas.microsoft.com/office/2006/metadata/properties"/>
    <ds:schemaRef ds:uri="31d397da-b7df-4110-ab96-ab60b7f606b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2021-09-30T14:09:02Z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