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8798EFEE-3DDA-4FFD-BBD5-DFB70D5CC530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Import_file" sheetId="1" state="hidden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Import_file!$A$3:$P$4</definedName>
    <definedName name="ExternalData_1" localSheetId="1" hidden="1">PDFContent_sheet!$C$1:$C$2</definedName>
    <definedName name="ExternalData_2" localSheetId="2" hidden="1">CheckTable!$A$3:$P$4</definedName>
    <definedName name="_xlnm.Print_Titles" localSheetId="0">AWP1A-VLS-[1]KMD!$1:$1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C4" i="5" a="1"/>
  <c r="E4" i="5"/>
  <c r="G4" i="5" a="1"/>
  <c r="M4" i="5" a="1"/>
  <c r="O4" i="5" a="1"/>
  <c r="Q4" i="5" a="1"/>
  <c r="Q4" i="5" l="1"/>
  <c r="O4" i="5"/>
  <c r="M4" i="5"/>
  <c r="G4" i="5"/>
  <c r="C4" i="5"/>
  <c r="G1" i="1"/>
  <c r="C1" i="1"/>
  <c r="K4" i="5" a="1"/>
  <c r="I4" i="5" a="1"/>
  <c r="I4" i="5" l="1"/>
  <c r="K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<sst xmlns="http://schemas.openxmlformats.org/spreadsheetml/2006/main" count="47" uniqueCount="38">
  <si>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</si>
  <si>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</si>
  <si>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</si>
  <si>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</si>
  <si>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</si>
  <si>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</si>
  <si>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</si>
  <si>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</si>
  <si>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</si>
  <si>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</si>
  <si>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</si>
  <si>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</si>
  <si>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</si>
  <si>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</si>
  <si>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</si>
  <si>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</si>
  <si>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</si>
  <si>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</si>
  <si>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</si>
  <si>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</si>
  <si>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</si>
  <si>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</si>
  <si>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</si>
  <si>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</si>
  <si>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Delivery package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</si>
  <si>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</si>
  <si>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</si>
  <si>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</si>
  <si>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</si>
  <si>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</si>
  <si>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</si>
  <si>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</si>
  <si>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</si>
  <si>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</si>
  <si>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</si>
  <si>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Document Revision Date</t>
  </si>
  <si>
    <t>File num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</si>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</sst>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rgb="FFFF0000"/>
      <name val="Arial"/>
      <family val="2"/>
    </font>
    <font>
      <sz val="14"/>
      <color theme="1"/>
      <name val="Calibri"/>
      <family val="2"/>
      <scheme val="minor"/>
    </font>
    <font>
      <sz val="14"/>
      <color rgb="FFFFFFFF"/>
      <name val="Calibri"/>
      <family val="2"/>
      <charset val="238"/>
      <scheme val="minor"/>
    </font>
    <font>
      <sz val="14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4506668294322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BFEF0"/>
        <bgColor rgb="FFFFB482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0"/>
      </left>
      <right style="medium">
        <color theme="2" tint="-0.4999542222357860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0"/>
      </right>
      <top style="thin">
        <color theme="9" tint="0.39997558519241921"/>
      </top>
      <bottom style="medium">
        <color theme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>
      <alignment horizontal="left" vertical="center"/>
    </xf>
  </cellStyleXfs>
  <cellXfs count="53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Protection="1">
      <protection locked="0"/>
    </xf>
    <xf numFmtId="49" fontId="24" fillId="0" borderId="0" xfId="0" applyNumberFormat="1" applyFont="1" applyFill="1"/>
    <xf numFmtId="0" fontId="29" fillId="0" borderId="0" xfId="0" applyFont="1" applyProtection="1">
      <protection locked="0"/>
    </xf>
    <xf numFmtId="49" fontId="27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0" fillId="0" borderId="0" xfId="0" applyFont="1" applyProtection="1">
      <protection locked="0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0" borderId="0" xfId="0" applyFont="1" applyProtection="1">
      <protection locked="0"/>
    </xf>
    <xf numFmtId="0" fontId="21" fillId="36" borderId="14" xfId="0" applyFont="1" applyFill="1" applyBorder="1" applyAlignment="1">
      <alignment horizontal="center" vertical="center" wrapText="1"/>
    </xf>
    <xf numFmtId="0" fontId="21" fillId="36" borderId="16" xfId="0" applyFon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2" fillId="39" borderId="17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49" fontId="31" fillId="40" borderId="18" xfId="0" applyNumberFormat="1" applyFont="1" applyFill="1" applyBorder="1" applyAlignment="1">
      <alignment horizontal="left" vertical="center" wrapText="1"/>
    </xf>
    <xf numFmtId="0" fontId="0" fillId="37" borderId="19" xfId="0" applyFill="1" applyBorder="1" applyAlignment="1">
      <alignment horizontal="center" vertical="center"/>
    </xf>
    <xf numFmtId="49" fontId="0" fillId="37" borderId="19" xfId="0" applyNumberFormat="1" applyFill="1" applyBorder="1" applyAlignment="1">
      <alignment horizontal="center" vertical="center"/>
    </xf>
    <xf numFmtId="20" fontId="0" fillId="0" borderId="0" xfId="0" applyNumberFormat="1"/>
    <xf numFmtId="49" fontId="32" fillId="0" borderId="14" xfId="0" applyNumberFormat="1" applyFont="1" applyFill="1" applyBorder="1" applyAlignment="1">
      <alignment horizontal="center" vertical="center" wrapText="1"/>
    </xf>
    <xf numFmtId="0" fontId="21" fillId="37" borderId="21" xfId="0" applyNumberFormat="1" applyFont="1" applyFill="1" applyBorder="1" applyAlignment="1">
      <alignment horizontal="center" vertical="center"/>
    </xf>
    <xf numFmtId="0" fontId="33" fillId="37" borderId="21" xfId="0" applyNumberFormat="1" applyFont="1" applyFill="1" applyBorder="1" applyAlignment="1">
      <alignment horizontal="center" vertical="center"/>
    </xf>
    <xf numFmtId="49" fontId="0" fillId="37" borderId="21" xfId="0" applyNumberFormat="1" applyFont="1" applyFill="1" applyBorder="1" applyAlignment="1">
      <alignment horizontal="center" vertical="center"/>
    </xf>
    <xf numFmtId="49" fontId="34" fillId="0" borderId="22" xfId="0" applyNumberFormat="1" applyFont="1" applyBorder="1" applyAlignment="1">
      <alignment horizontal="center" vertical="center"/>
    </xf>
    <xf numFmtId="0" fontId="21" fillId="41" borderId="23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42" borderId="21" xfId="0" applyFill="1" applyBorder="1"/>
    <xf numFmtId="16" fontId="0" fillId="0" borderId="0" xfId="0" applyNumberFormat="1"/>
    <xf numFmtId="0" fontId="20" fillId="38" borderId="0" xfId="0" applyFont="1" applyFill="1" applyBorder="1" applyProtection="1"/>
    <xf numFmtId="0" fontId="23" fillId="38" borderId="0" xfId="0" applyFont="1" applyFill="1" applyBorder="1" applyProtection="1"/>
    <xf numFmtId="0" fontId="0" fillId="0" borderId="0" xfId="0" applyBorder="1" applyProtection="1">
      <protection locked="0"/>
    </xf>
    <xf numFmtId="0" fontId="25" fillId="36" borderId="15" xfId="0" applyFont="1" applyFill="1" applyBorder="1" applyAlignment="1">
      <alignment horizontal="center" vertical="center" wrapText="1"/>
    </xf>
    <xf numFmtId="0" fontId="25" fillId="36" borderId="14" xfId="0" applyFont="1" applyFill="1" applyBorder="1" applyAlignment="1">
      <alignment horizontal="center" vertical="center" wrapText="1"/>
    </xf>
    <xf numFmtId="0" fontId="25" fillId="36" borderId="17" xfId="0" applyFont="1" applyFill="1" applyBorder="1" applyAlignment="1">
      <alignment horizontal="center" vertical="center" wrapText="1"/>
    </xf>
    <xf numFmtId="0" fontId="0" fillId="43" borderId="20" xfId="0" applyNumberFormat="1" applyFill="1" applyBorder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37" borderId="20" xfId="0" applyNumberFormat="1" applyFill="1" applyBorder="1" applyAlignment="1">
      <alignment horizontal="center" vertical="center"/>
    </xf>
    <xf numFmtId="0" fontId="0" fillId="37" borderId="13" xfId="0" applyNumberForma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ill>
        <gradientFill type="path" left="0.5" right="0.5" top="0.5" bottom="0.5">
          <stop position="0">
            <color rgb="FFE4FCCC"/>
          </stop>
          <stop position="1">
            <color rgb="FFCEEAB0"/>
          </stop>
        </gradientFill>
      </fill>
      <border>
        <bottom style="thin">
          <color theme="0" tint="-0.34998626667073579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CEEAB0"/>
      <color rgb="FFE4FCCC"/>
      <color rgb="FFCDFAA0"/>
      <color rgb="FFB0F868"/>
      <color rgb="FFF48F66"/>
      <color rgb="FFFFFFB9"/>
      <color rgb="FFAAF96F"/>
      <color rgb="FF797979"/>
      <color rgb="FFF5F52B"/>
      <color rgb="FFFBFE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10" Type="http://schemas.microsoft.com/office/2017/10/relationships/person" Target="persons/perso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2700609</xdr:colOff>
      <xdr:row>0</xdr:row>
      <xdr:rowOff>0</xdr:rowOff>
    </xdr:from>
    <xdr:to>
      <xdr:col>43</xdr:col>
      <xdr:colOff>159862</xdr:colOff>
      <xdr:row>99</xdr:row>
      <xdr:rowOff>179294</xdr:rowOff>
    </xdr:to>
    <xdr:sp macro="" textlink="">
      <xdr:nvSpPr>
        <xdr:cNvPr id="4" name="bg_mask">
          <a:extLst>
            <a:ext uri="{FF2B5EF4-FFF2-40B4-BE49-F238E27FC236}">
              <a16:creationId xmlns:a16="http://schemas.microsoft.com/office/drawing/2014/main" id="{6F99F312-61BD-4CA4-803F-439D50FD60A5}"/>
            </a:ext>
          </a:extLst>
        </xdr:cNvPr>
        <xdr:cNvSpPr/>
      </xdr:nvSpPr>
      <xdr:spPr>
        <a:xfrm>
          <a:off x="2700609" y="0"/>
          <a:ext cx="25400000" cy="19229294"/>
        </a:xfrm>
        <a:prstGeom prst="rect">
          <a:avLst/>
        </a:prstGeom>
        <a:gradFill flip="none" rotWithShape="1">
          <a:gsLst>
            <a:gs pos="0">
              <a:schemeClr val="bg1"/>
            </a:gs>
            <a:gs pos="43000">
              <a:schemeClr val="bg1">
                <a:lumMod val="85000"/>
              </a:schemeClr>
            </a:gs>
          </a:gsLst>
          <a:lin ang="0" scaled="0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read_ImportFile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Load import file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4</xdr:row>
      <xdr:rowOff>178015</xdr:rowOff>
    </xdr:from>
    <xdr:to>
      <xdr:col>0</xdr:col>
      <xdr:colOff>2588079</xdr:colOff>
      <xdr:row>10</xdr:row>
      <xdr:rowOff>175293</xdr:rowOff>
    </xdr:to>
    <xdr:sp macro="[0]!read_PDF.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9615" y="1130515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Check 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302559</xdr:colOff>
      <xdr:row>15</xdr:row>
      <xdr:rowOff>41464</xdr:rowOff>
    </xdr:from>
    <xdr:to>
      <xdr:col>0</xdr:col>
      <xdr:colOff>2448707</xdr:colOff>
      <xdr:row>18</xdr:row>
      <xdr:rowOff>95892</xdr:rowOff>
    </xdr:to>
    <xdr:sp macro="[0]!Sheet5.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02559" y="3089464"/>
          <a:ext cx="2146148" cy="625928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results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278467</xdr:colOff>
      <xdr:row>13</xdr:row>
      <xdr:rowOff>3924</xdr:rowOff>
    </xdr:from>
    <xdr:to>
      <xdr:col>0</xdr:col>
      <xdr:colOff>2465295</xdr:colOff>
      <xdr:row>14</xdr:row>
      <xdr:rowOff>89649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78467" y="2670924"/>
          <a:ext cx="2186828" cy="276225"/>
        </a:xfrm>
        <a:prstGeom prst="snip1Rect">
          <a:avLst>
            <a:gd name="adj" fmla="val 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Firstly load your import file</a:t>
          </a:r>
          <a:endParaRPr lang="ru-RU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87893</xdr:colOff>
      <xdr:row>0</xdr:row>
      <xdr:rowOff>44060</xdr:rowOff>
    </xdr:from>
    <xdr:to>
      <xdr:col>0</xdr:col>
      <xdr:colOff>1549300</xdr:colOff>
      <xdr:row>0</xdr:row>
      <xdr:rowOff>608135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F14F0B-24CF-4C82-A78A-AC3641749928}"/>
            </a:ext>
          </a:extLst>
        </xdr:cNvPr>
        <xdr:cNvGrpSpPr/>
      </xdr:nvGrpSpPr>
      <xdr:grpSpPr>
        <a:xfrm>
          <a:off x="87893" y="44060"/>
          <a:ext cx="1309007" cy="564075"/>
          <a:chOff x="122464" y="38099"/>
          <a:chExt cx="1461407" cy="447675"/>
        </a:xfrm>
      </xdr:grpSpPr>
      <xdr:sp macro="[0]!Sheet4.goToPDFconte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5A3A180-F6AD-4190-851A-9DE1964F79E4}"/>
              </a:ext>
            </a:extLst>
          </xdr:cNvPr>
          <xdr:cNvSpPr/>
        </xdr:nvSpPr>
        <xdr:spPr>
          <a:xfrm>
            <a:off x="122464" y="38099"/>
            <a:ext cx="1461407" cy="447675"/>
          </a:xfrm>
          <a:prstGeom prst="roundRect">
            <a:avLst>
              <a:gd name="adj" fmla="val 5000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innerShdw blurRad="114300">
              <a:prstClr val="black"/>
            </a:inn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endParaRPr>
          </a:p>
        </xdr:txBody>
      </xdr:sp>
      <xdr:sp macro="[0]!Sheet4.goToPDFcontent" textlink="">
        <xdr:nvSpPr>
          <xdr:cNvPr id="2" name="Arrow: Left 1">
            <a:extLst>
              <a:ext uri="{FF2B5EF4-FFF2-40B4-BE49-F238E27FC236}">
                <a16:creationId xmlns:a16="http://schemas.microsoft.com/office/drawing/2014/main" id="{4D5E4762-AD5F-4F7A-AA38-495299DC02AF}"/>
              </a:ext>
            </a:extLst>
          </xdr:cNvPr>
          <xdr:cNvSpPr/>
        </xdr:nvSpPr>
        <xdr:spPr>
          <a:xfrm>
            <a:off x="486935" y="106637"/>
            <a:ext cx="705970" cy="304712"/>
          </a:xfrm>
          <a:prstGeom prst="leftArrow">
            <a:avLst>
              <a:gd name="adj1" fmla="val 61450"/>
              <a:gd name="adj2" fmla="val 65267"/>
            </a:avLst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89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5970">
    <queryTableFields count="1">
      <queryTableField id="774" name="Column1" tableColumnId="1"/>
    </queryTableFields>
    <queryTableDeletedFields count="4376">
      <deletedField name="Column1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3"/>
      <deletedField name="Column2"/>
      <deletedField name="Column3"/>
      <deletedField name="Column2"/>
      <deletedField name="Column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67" unboundColumnsRight="1">
    <queryTableFields count="17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58" name="Document Revision Date" tableColumnId="8"/>
      <queryTableField id="52" dataBound="0" tableColumnId="12"/>
      <queryTableField id="45" name="Document Revision Description" tableColumnId="14"/>
      <queryTableField id="53" dataBound="0" tableColumnId="13"/>
      <queryTableField id="41" name="Document format" tableColumnId="4"/>
      <queryTableField id="54" dataBound="0" tableColumnId="17"/>
      <queryTableField id="10" name="Document _x000a_Number of pages" tableColumnId="3"/>
      <queryTableField id="55" dataBound="0" tableColumnId="18"/>
      <queryTableField id="16" name="Delivery Package" tableColumnId="16"/>
      <queryTableField id="57" dataBound="0" tableColumnId="20"/>
    </queryTableFields>
    <queryTableDeletedFields count="3">
      <deletedField name="Document format"/>
      <deletedField name="Document format"/>
      <deletedField name="Russian Title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4" dataDxfId="43" tableBorderDxfId="42">
  <autoFilter ref="A3:P4" xr:uid="{00000000-0009-0000-0100-000001000000}"/>
  <tableColumns count="16">
    <tableColumn id="1" xr3:uid="{00000000-0010-0000-0000-000001000000}" name="Project" dataDxfId="41"/>
    <tableColumn id="2" xr3:uid="{00000000-0010-0000-0000-000002000000}" name="Unit" dataDxfId="40"/>
    <tableColumn id="3" xr3:uid="{00000000-0010-0000-0000-000003000000}" name="Doc Type" dataDxfId="39"/>
    <tableColumn id="4" xr3:uid="{00000000-0010-0000-0000-000004000000}" name="Mat Code / _x000a_Dept" dataDxfId="38"/>
    <tableColumn id="5" xr3:uid="{00000000-0010-0000-0000-000005000000}" name="Serial" dataDxfId="37"/>
    <tableColumn id="6" xr3:uid="{00000000-0010-0000-0000-000006000000}" name="Document _x000a_Revision" dataDxfId="36"/>
    <tableColumn id="7" xr3:uid="{00000000-0010-0000-0000-000007000000}" name="Document title" dataDxfId="35"/>
    <tableColumn id="9" xr3:uid="{00000000-0010-0000-0000-000009000000}" name="Document Revision Date" dataDxfId="34"/>
    <tableColumn id="11" xr3:uid="{00000000-0010-0000-0000-00000B000000}" name="Document format" dataDxfId="33"/>
    <tableColumn id="13" xr3:uid="{00000000-0010-0000-0000-00000D000000}" name="Document _x000a_Number of pages" dataDxfId="32"/>
    <tableColumn id="15" xr3:uid="{00000000-0010-0000-0000-00000F000000}" name="Module Number" dataDxfId="31"/>
    <tableColumn id="16" xr3:uid="{00000000-0010-0000-0000-000010000000}" name="Representation Code" dataDxfId="30"/>
    <tableColumn id="17" xr3:uid="{00000000-0010-0000-0000-000011000000}" name="Document Language" dataDxfId="29"/>
    <tableColumn id="18" xr3:uid="{00000000-0010-0000-0000-000012000000}" name="Russian Title" dataDxfId="28"/>
    <tableColumn id="20" xr3:uid="{00000000-0010-0000-0000-000014000000}" name="Acrobat file" dataDxfId="27"/>
    <tableColumn id="22" xr3:uid="{00000000-0010-0000-0000-000016000000}" name="Delivery Packag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5" dataDxfId="24">
  <autoFilter ref="C1:C2" xr:uid="{00000000-0009-0000-0100-000002000000}"/>
  <tableColumns count="1">
    <tableColumn id="1" xr3:uid="{00000000-0010-0000-0100-000001000000}" uniqueName="1" name="Column1" queryTableFieldId="774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Q4" tableType="queryTable" totalsRowShown="0" headerRowDxfId="23" dataDxfId="0" headerRowBorderDxfId="22">
  <autoFilter ref="A3:Q4" xr:uid="{00000000-0009-0000-0100-000003000000}"/>
  <tableColumns count="17">
    <tableColumn id="15" xr3:uid="{00000000-0010-0000-0200-00000F000000}" uniqueName="15" name="Acrobat file" queryTableFieldId="15" dataDxfId="17"/>
    <tableColumn id="27" xr3:uid="{00000000-0010-0000-0200-00001B000000}" uniqueName="27" name="File num" queryTableFieldId="29" dataDxfId="16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5">
      <calculatedColumnFormula array="1">getDocumentName(A4,B4)</calculatedColumnFormula>
    </tableColumn>
    <tableColumn id="7" xr3:uid="{00000000-0010-0000-0200-000007000000}" uniqueName="7" name="Document title" queryTableFieldId="7" dataDxfId="14"/>
    <tableColumn id="9" xr3:uid="{00000000-0010-0000-0200-000009000000}" uniqueName="9" name="present in PDF 1" queryTableFieldId="50" dataDxfId="13">
      <calculatedColumnFormula>getDocumentTitle(D4,B4)</calculatedColumnFormula>
    </tableColumn>
    <tableColumn id="6" xr3:uid="{00000000-0010-0000-0200-000006000000}" uniqueName="6" name="Document _x000a_Revision" queryTableFieldId="6" dataDxfId="12"/>
    <tableColumn id="11" xr3:uid="{00000000-0010-0000-0200-00000B000000}" uniqueName="11" name="present in PDF 2" queryTableFieldId="51" dataDxfId="11">
      <calculatedColumnFormula array="1">getDocumentRevision(F4,B4)</calculatedColumnFormula>
    </tableColumn>
    <tableColumn id="8" xr3:uid="{D82360C2-4E64-457D-B2C2-ED778E9BBE5C}" uniqueName="8" name="Document Revision Date" queryTableFieldId="58" dataDxfId="10"/>
    <tableColumn id="12" xr3:uid="{00000000-0010-0000-0200-00000C000000}" uniqueName="12" name="present in PDF 3" queryTableFieldId="52" dataDxfId="9">
      <calculatedColumnFormula array="1">getDocumentRevisionDate(G4,B4)</calculatedColumnFormula>
    </tableColumn>
    <tableColumn id="14" xr3:uid="{B2877B99-D8A6-460B-8A16-B55DDEBFA2EF}" uniqueName="14" name="Document Revision Description" queryTableFieldId="45" dataDxfId="8"/>
    <tableColumn id="13" xr3:uid="{00000000-0010-0000-0200-00000D000000}" uniqueName="13" name="present in PDF 4" queryTableFieldId="53" dataDxfId="7">
      <calculatedColumnFormula array="1">getDocumentRevisionDescription(G4,B4)</calculatedColumnFormula>
    </tableColumn>
    <tableColumn id="4" xr3:uid="{00000000-0010-0000-0200-000004000000}" uniqueName="4" name="Document format" queryTableFieldId="41" dataDxfId="6"/>
    <tableColumn id="17" xr3:uid="{00000000-0010-0000-0200-000011000000}" uniqueName="17" name="present in PDF 5" queryTableFieldId="54" dataDxfId="5">
      <calculatedColumnFormula array="1">getDocumentFormat(B4)</calculatedColumnFormula>
    </tableColumn>
    <tableColumn id="3" xr3:uid="{00000000-0010-0000-0200-000003000000}" uniqueName="3" name="Document _x000a_Number of pages" queryTableFieldId="10" dataDxfId="4"/>
    <tableColumn id="18" xr3:uid="{00000000-0010-0000-0200-000012000000}" uniqueName="18" name="present in PDF 6" queryTableFieldId="55" dataDxfId="3">
      <calculatedColumnFormula array="1">getDocumentSheetsQuantity(B4)</calculatedColumnFormula>
    </tableColumn>
    <tableColumn id="16" xr3:uid="{00000000-0010-0000-0200-000010000000}" uniqueName="16" name="Delivery Package" queryTableFieldId="16" dataDxfId="2"/>
    <tableColumn id="20" xr3:uid="{00000000-0010-0000-0200-000014000000}" uniqueName="20" name="present in PDF 8" queryTableFieldId="57" dataDxfId="1">
      <calculatedColumnFormula array="1">getDocumentDPNumber(P4,B4)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55" zoomScaleNormal="55" workbookViewId="0">
      <selection activeCell="D33" sqref="D33"/>
    </sheetView>
  </sheetViews>
  <sheetFormatPr defaultColWidth="11.42578125" defaultRowHeight="15" customHeight="1" x14ac:dyDescent="0.25"/>
  <cols>
    <col min="1" max="1" width="29.5703125" style="14" customWidth="1"/>
    <col min="2" max="5" width="16.42578125" style="14" customWidth="1"/>
    <col min="6" max="6" width="14.7109375" style="14" customWidth="1"/>
    <col min="7" max="7" width="52.140625" style="14" customWidth="1"/>
    <col min="8" max="8" width="16.140625" style="14" customWidth="1"/>
    <col min="9" max="9" width="19" style="14" customWidth="1"/>
    <col min="10" max="10" width="13.5703125" style="14" customWidth="1"/>
    <col min="11" max="11" width="17.42578125" style="14" customWidth="1"/>
    <col min="12" max="12" width="21.28515625" style="14" customWidth="1"/>
    <col min="13" max="13" width="20.7109375" style="14" customWidth="1"/>
    <col min="14" max="14" width="53.7109375" style="14" customWidth="1"/>
    <col min="15" max="15" width="48.140625" style="14" customWidth="1"/>
    <col min="16" max="16" width="18.140625" style="14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35</v>
      </c>
      <c r="I3" s="7" t="s">
        <v>9</v>
      </c>
      <c r="J3" s="7" t="s">
        <v>10</v>
      </c>
      <c r="K3" s="7" t="s">
        <v>11</v>
      </c>
      <c r="L3" s="7" t="s">
        <v>12</v>
      </c>
      <c r="M3" s="7" t="s">
        <v>13</v>
      </c>
      <c r="N3" s="7" t="s">
        <v>14</v>
      </c>
      <c r="O3" s="7" t="s">
        <v>15</v>
      </c>
      <c r="P3" s="8" t="s">
        <v>16</v>
      </c>
    </row>
    <row r="4" spans="1:16" ht="15" customHeight="1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</row>
  </sheetData>
  <phoneticPr fontId="18" type="noConversion"/>
  <conditionalFormatting sqref="O1:O1048576">
    <cfRule type="duplicateValues" dxfId="21" priority="1"/>
  </conditionalFormatting>
  <conditionalFormatting sqref="O4">
    <cfRule type="duplicateValues" dxfId="20" priority="218"/>
  </conditionalFormatting>
  <pageMargins left="0.78999999999999992" right="0.78999999999999992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tabSelected="1" zoomScale="85" zoomScaleNormal="85" workbookViewId="0">
      <pane xSplit="1" topLeftCell="B1" activePane="topRight" state="frozen"/>
      <selection activeCell="G68" sqref="G68"/>
      <selection pane="topRight" activeCell="E21" sqref="E21"/>
    </sheetView>
  </sheetViews>
  <sheetFormatPr defaultColWidth="9.140625" defaultRowHeight="15" x14ac:dyDescent="0.25"/>
  <cols>
    <col min="1" max="1" width="40.5703125" style="45" customWidth="1"/>
    <col min="2" max="2" width="1.85546875" style="19" customWidth="1"/>
    <col min="3" max="3" width="11.140625" bestFit="1" customWidth="1"/>
    <col min="4" max="16384" width="9.140625" style="18"/>
  </cols>
  <sheetData>
    <row r="1" spans="1:3" s="22" customFormat="1" x14ac:dyDescent="0.25">
      <c r="A1" s="43"/>
      <c r="C1" s="20" t="s">
        <v>37</v>
      </c>
    </row>
    <row r="2" spans="1:3" s="22" customFormat="1" x14ac:dyDescent="0.25">
      <c r="A2" s="43"/>
      <c r="C2" s="41"/>
    </row>
    <row r="3" spans="1:3" s="17" customFormat="1" x14ac:dyDescent="0.25">
      <c r="A3" s="43"/>
      <c r="B3" s="22"/>
    </row>
    <row r="4" spans="1:3" s="17" customFormat="1" ht="30" customHeight="1" x14ac:dyDescent="0.25">
      <c r="A4" s="43"/>
      <c r="B4" s="22"/>
      <c r="C4" s="40"/>
    </row>
    <row r="5" spans="1:3" s="16" customFormat="1" x14ac:dyDescent="0.25">
      <c r="A5" s="44"/>
      <c r="B5" s="15"/>
      <c r="C5"/>
    </row>
    <row r="6" spans="1:3" x14ac:dyDescent="0.25">
      <c r="A6" s="44"/>
      <c r="B6" s="15"/>
    </row>
    <row r="7" spans="1:3" x14ac:dyDescent="0.25">
      <c r="A7" s="44"/>
      <c r="B7" s="15"/>
    </row>
    <row r="8" spans="1:3" x14ac:dyDescent="0.25">
      <c r="A8" s="44"/>
      <c r="B8" s="15"/>
    </row>
    <row r="9" spans="1:3" x14ac:dyDescent="0.25">
      <c r="A9" s="44"/>
      <c r="B9" s="15"/>
    </row>
    <row r="10" spans="1:3" x14ac:dyDescent="0.25">
      <c r="A10" s="44"/>
      <c r="B10" s="15"/>
    </row>
    <row r="11" spans="1:3" x14ac:dyDescent="0.25">
      <c r="A11" s="44"/>
      <c r="B11" s="15"/>
    </row>
    <row r="12" spans="1:3" x14ac:dyDescent="0.25">
      <c r="A12" s="44"/>
      <c r="B12" s="15"/>
    </row>
    <row r="13" spans="1:3" x14ac:dyDescent="0.25">
      <c r="A13" s="44"/>
      <c r="B13" s="15"/>
    </row>
    <row r="14" spans="1:3" x14ac:dyDescent="0.25">
      <c r="A14" s="44"/>
      <c r="B14" s="15"/>
      <c r="C14" s="33"/>
    </row>
    <row r="15" spans="1:3" x14ac:dyDescent="0.25">
      <c r="A15" s="44"/>
      <c r="B15" s="15"/>
      <c r="C15" s="33"/>
    </row>
    <row r="16" spans="1:3" x14ac:dyDescent="0.25">
      <c r="A16" s="44"/>
      <c r="B16" s="15"/>
      <c r="C16" s="33"/>
    </row>
    <row r="17" spans="1:3" x14ac:dyDescent="0.25">
      <c r="A17" s="44"/>
      <c r="B17" s="15"/>
      <c r="C17" s="33"/>
    </row>
    <row r="18" spans="1:3" x14ac:dyDescent="0.25">
      <c r="A18" s="44"/>
      <c r="B18" s="15"/>
      <c r="C18" s="33"/>
    </row>
    <row r="19" spans="1:3" x14ac:dyDescent="0.25">
      <c r="A19" s="44"/>
      <c r="B19" s="15"/>
    </row>
    <row r="20" spans="1:3" x14ac:dyDescent="0.25">
      <c r="A20" s="44"/>
      <c r="B20" s="15"/>
      <c r="C20" s="33"/>
    </row>
    <row r="21" spans="1:3" x14ac:dyDescent="0.25">
      <c r="A21" s="44"/>
      <c r="B21" s="15"/>
    </row>
    <row r="22" spans="1:3" x14ac:dyDescent="0.25">
      <c r="A22" s="44"/>
      <c r="B22" s="15"/>
    </row>
    <row r="23" spans="1:3" x14ac:dyDescent="0.25">
      <c r="A23" s="44"/>
      <c r="B23" s="15"/>
      <c r="C23" s="33"/>
    </row>
    <row r="24" spans="1:3" x14ac:dyDescent="0.25">
      <c r="A24" s="44"/>
      <c r="B24" s="15"/>
      <c r="C24" s="33"/>
    </row>
    <row r="25" spans="1:3" x14ac:dyDescent="0.25">
      <c r="A25" s="44"/>
      <c r="B25" s="15"/>
      <c r="C25" s="33"/>
    </row>
    <row r="26" spans="1:3" x14ac:dyDescent="0.25">
      <c r="A26" s="44"/>
      <c r="B26" s="15"/>
    </row>
    <row r="27" spans="1:3" x14ac:dyDescent="0.25">
      <c r="A27" s="44"/>
      <c r="B27" s="15"/>
      <c r="C27" s="33"/>
    </row>
    <row r="28" spans="1:3" x14ac:dyDescent="0.25">
      <c r="A28" s="44"/>
      <c r="B28" s="15"/>
    </row>
    <row r="29" spans="1:3" x14ac:dyDescent="0.25">
      <c r="A29" s="44"/>
      <c r="B29" s="15"/>
      <c r="C29" s="33"/>
    </row>
    <row r="30" spans="1:3" x14ac:dyDescent="0.25">
      <c r="A30" s="44"/>
      <c r="B30" s="15"/>
    </row>
    <row r="31" spans="1:3" x14ac:dyDescent="0.25">
      <c r="A31" s="44"/>
      <c r="B31" s="15"/>
      <c r="C31" s="33"/>
    </row>
    <row r="32" spans="1:3" x14ac:dyDescent="0.25">
      <c r="A32" s="44"/>
      <c r="B32" s="15"/>
    </row>
    <row r="33" spans="1:3" x14ac:dyDescent="0.25">
      <c r="A33" s="44"/>
      <c r="B33" s="15"/>
    </row>
    <row r="34" spans="1:3" x14ac:dyDescent="0.25">
      <c r="A34" s="44"/>
      <c r="B34" s="15"/>
    </row>
    <row r="35" spans="1:3" x14ac:dyDescent="0.25">
      <c r="A35" s="44"/>
      <c r="B35" s="15"/>
    </row>
    <row r="36" spans="1:3" x14ac:dyDescent="0.25">
      <c r="A36" s="44"/>
      <c r="B36" s="15"/>
    </row>
    <row r="37" spans="1:3" x14ac:dyDescent="0.25">
      <c r="A37" s="44"/>
      <c r="B37" s="15"/>
    </row>
    <row r="38" spans="1:3" x14ac:dyDescent="0.25">
      <c r="A38" s="44"/>
      <c r="B38" s="15"/>
    </row>
    <row r="39" spans="1:3" x14ac:dyDescent="0.25">
      <c r="A39" s="44"/>
      <c r="B39" s="15"/>
    </row>
    <row r="40" spans="1:3" x14ac:dyDescent="0.25">
      <c r="A40" s="44"/>
      <c r="B40" s="15"/>
    </row>
    <row r="41" spans="1:3" x14ac:dyDescent="0.25">
      <c r="A41" s="44"/>
      <c r="B41" s="15"/>
    </row>
    <row r="42" spans="1:3" x14ac:dyDescent="0.25">
      <c r="A42" s="44"/>
      <c r="B42" s="15"/>
    </row>
    <row r="43" spans="1:3" x14ac:dyDescent="0.25">
      <c r="A43" s="44"/>
      <c r="B43" s="15"/>
    </row>
    <row r="44" spans="1:3" x14ac:dyDescent="0.25">
      <c r="A44" s="44"/>
      <c r="B44" s="15"/>
    </row>
    <row r="45" spans="1:3" x14ac:dyDescent="0.25">
      <c r="A45" s="44"/>
      <c r="B45" s="15"/>
      <c r="C45" s="33"/>
    </row>
    <row r="46" spans="1:3" x14ac:dyDescent="0.25">
      <c r="A46" s="44"/>
      <c r="B46" s="15"/>
    </row>
    <row r="47" spans="1:3" x14ac:dyDescent="0.25">
      <c r="A47" s="44"/>
      <c r="B47" s="15"/>
    </row>
    <row r="48" spans="1:3" x14ac:dyDescent="0.25">
      <c r="A48" s="44"/>
      <c r="B48" s="15"/>
    </row>
    <row r="49" spans="1:2" x14ac:dyDescent="0.25">
      <c r="A49" s="44"/>
      <c r="B49" s="15"/>
    </row>
    <row r="50" spans="1:2" x14ac:dyDescent="0.25">
      <c r="A50" s="44"/>
      <c r="B50" s="15"/>
    </row>
    <row r="51" spans="1:2" x14ac:dyDescent="0.25">
      <c r="A51" s="44"/>
      <c r="B51" s="15"/>
    </row>
    <row r="52" spans="1:2" x14ac:dyDescent="0.25">
      <c r="A52" s="44"/>
      <c r="B52" s="15"/>
    </row>
    <row r="53" spans="1:2" x14ac:dyDescent="0.25">
      <c r="A53" s="44"/>
      <c r="B53" s="15"/>
    </row>
    <row r="54" spans="1:2" x14ac:dyDescent="0.25">
      <c r="A54" s="44"/>
      <c r="B54" s="15"/>
    </row>
    <row r="55" spans="1:2" x14ac:dyDescent="0.25">
      <c r="A55" s="44"/>
      <c r="B55" s="15"/>
    </row>
    <row r="56" spans="1:2" x14ac:dyDescent="0.25">
      <c r="A56" s="44"/>
      <c r="B56" s="15"/>
    </row>
    <row r="57" spans="1:2" x14ac:dyDescent="0.25">
      <c r="A57" s="44"/>
      <c r="B57" s="15"/>
    </row>
    <row r="58" spans="1:2" x14ac:dyDescent="0.25">
      <c r="A58" s="44"/>
      <c r="B58" s="15"/>
    </row>
    <row r="59" spans="1:2" x14ac:dyDescent="0.25">
      <c r="A59" s="44"/>
      <c r="B59" s="15"/>
    </row>
    <row r="60" spans="1:2" x14ac:dyDescent="0.25">
      <c r="A60" s="44"/>
      <c r="B60" s="15"/>
    </row>
    <row r="61" spans="1:2" x14ac:dyDescent="0.25">
      <c r="A61" s="44"/>
      <c r="B61" s="15"/>
    </row>
    <row r="62" spans="1:2" x14ac:dyDescent="0.25">
      <c r="A62" s="44"/>
      <c r="B62" s="15"/>
    </row>
    <row r="63" spans="1:2" x14ac:dyDescent="0.25">
      <c r="A63" s="44"/>
      <c r="B63" s="15"/>
    </row>
    <row r="64" spans="1:2" x14ac:dyDescent="0.25">
      <c r="A64" s="44"/>
      <c r="B64" s="15"/>
    </row>
    <row r="65" spans="1:2" x14ac:dyDescent="0.25">
      <c r="A65" s="44"/>
      <c r="B65" s="15"/>
    </row>
    <row r="66" spans="1:2" x14ac:dyDescent="0.25">
      <c r="A66" s="44"/>
      <c r="B66" s="15"/>
    </row>
    <row r="67" spans="1:2" x14ac:dyDescent="0.25">
      <c r="A67" s="44"/>
      <c r="B67" s="15"/>
    </row>
    <row r="68" spans="1:2" x14ac:dyDescent="0.25">
      <c r="A68" s="44"/>
      <c r="B68" s="15"/>
    </row>
    <row r="69" spans="1:2" x14ac:dyDescent="0.25">
      <c r="A69" s="44"/>
      <c r="B69" s="15"/>
    </row>
    <row r="70" spans="1:2" x14ac:dyDescent="0.25">
      <c r="A70" s="44"/>
      <c r="B70" s="15"/>
    </row>
    <row r="71" spans="1:2" x14ac:dyDescent="0.25">
      <c r="A71" s="44"/>
      <c r="B71" s="15"/>
    </row>
    <row r="72" spans="1:2" x14ac:dyDescent="0.25">
      <c r="A72" s="44"/>
      <c r="B72" s="15"/>
    </row>
    <row r="73" spans="1:2" x14ac:dyDescent="0.25">
      <c r="A73" s="44"/>
      <c r="B73" s="15"/>
    </row>
    <row r="74" spans="1:2" x14ac:dyDescent="0.25">
      <c r="A74" s="44"/>
      <c r="B74" s="15"/>
    </row>
    <row r="75" spans="1:2" x14ac:dyDescent="0.25">
      <c r="A75" s="44"/>
      <c r="B75" s="15"/>
    </row>
    <row r="76" spans="1:2" x14ac:dyDescent="0.25">
      <c r="A76" s="44"/>
      <c r="B76" s="15"/>
    </row>
    <row r="77" spans="1:2" x14ac:dyDescent="0.25">
      <c r="A77" s="44"/>
      <c r="B77" s="15"/>
    </row>
    <row r="78" spans="1:2" x14ac:dyDescent="0.25">
      <c r="A78" s="44"/>
      <c r="B78" s="15"/>
    </row>
    <row r="79" spans="1:2" x14ac:dyDescent="0.25">
      <c r="A79" s="44"/>
      <c r="B79" s="15"/>
    </row>
    <row r="80" spans="1:2" x14ac:dyDescent="0.25">
      <c r="A80" s="44"/>
      <c r="B80" s="15"/>
    </row>
    <row r="81" spans="1:3" x14ac:dyDescent="0.25">
      <c r="A81" s="44"/>
      <c r="B81" s="15"/>
    </row>
    <row r="82" spans="1:3" x14ac:dyDescent="0.25">
      <c r="A82" s="44"/>
      <c r="B82" s="15"/>
    </row>
    <row r="83" spans="1:3" x14ac:dyDescent="0.25">
      <c r="A83" s="44"/>
      <c r="B83" s="15"/>
    </row>
    <row r="84" spans="1:3" x14ac:dyDescent="0.25">
      <c r="A84" s="44"/>
      <c r="B84" s="15"/>
    </row>
    <row r="85" spans="1:3" x14ac:dyDescent="0.25">
      <c r="A85" s="44"/>
      <c r="B85" s="15"/>
      <c r="C85" s="33"/>
    </row>
    <row r="86" spans="1:3" x14ac:dyDescent="0.25">
      <c r="A86" s="44"/>
      <c r="B86" s="15"/>
    </row>
    <row r="87" spans="1:3" x14ac:dyDescent="0.25">
      <c r="A87" s="44"/>
      <c r="B87" s="15"/>
    </row>
    <row r="88" spans="1:3" x14ac:dyDescent="0.25">
      <c r="A88" s="44"/>
      <c r="B88" s="15"/>
    </row>
    <row r="89" spans="1:3" x14ac:dyDescent="0.25">
      <c r="A89" s="44"/>
      <c r="B89" s="15"/>
    </row>
    <row r="90" spans="1:3" x14ac:dyDescent="0.25">
      <c r="A90" s="44"/>
      <c r="B90" s="15"/>
    </row>
    <row r="91" spans="1:3" x14ac:dyDescent="0.25">
      <c r="A91" s="44"/>
      <c r="B91" s="15"/>
      <c r="C91" s="42"/>
    </row>
    <row r="92" spans="1:3" x14ac:dyDescent="0.25">
      <c r="A92" s="44"/>
      <c r="B92" s="15"/>
    </row>
    <row r="93" spans="1:3" x14ac:dyDescent="0.25">
      <c r="A93" s="44"/>
      <c r="B93" s="15"/>
    </row>
    <row r="94" spans="1:3" x14ac:dyDescent="0.25">
      <c r="A94" s="44"/>
      <c r="B94" s="15"/>
    </row>
    <row r="95" spans="1:3" x14ac:dyDescent="0.25">
      <c r="A95" s="44"/>
      <c r="B95" s="15"/>
    </row>
    <row r="96" spans="1:3" x14ac:dyDescent="0.25">
      <c r="A96" s="44"/>
      <c r="B96" s="15"/>
    </row>
    <row r="97" spans="1:2" x14ac:dyDescent="0.25">
      <c r="A97" s="44"/>
      <c r="B97" s="15"/>
    </row>
    <row r="98" spans="1:2" x14ac:dyDescent="0.25">
      <c r="A98" s="44"/>
      <c r="B98" s="15"/>
    </row>
    <row r="99" spans="1:2" x14ac:dyDescent="0.25">
      <c r="A99" s="44"/>
      <c r="B99" s="15"/>
    </row>
    <row r="100" spans="1:2" x14ac:dyDescent="0.25">
      <c r="A100" s="44"/>
      <c r="B100" s="15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cellIs" dxfId="19" priority="1" operator="equal">
      <formula>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Q75"/>
  <sheetViews>
    <sheetView zoomScale="70" zoomScaleNormal="70" workbookViewId="0">
      <pane ySplit="3" topLeftCell="A4" activePane="bottomLeft" state="frozen"/>
      <selection pane="bottomLeft" activeCell="C31" sqref="C31"/>
    </sheetView>
  </sheetViews>
  <sheetFormatPr defaultColWidth="9.140625" defaultRowHeight="15" x14ac:dyDescent="0.25"/>
  <cols>
    <col min="1" max="1" width="21" style="10" bestFit="1" customWidth="1"/>
    <col min="2" max="2" width="17.42578125" style="10" bestFit="1" customWidth="1"/>
    <col min="3" max="3" width="51.140625" style="10" bestFit="1" customWidth="1"/>
    <col min="4" max="4" width="25.28515625" style="10" bestFit="1" customWidth="1"/>
    <col min="5" max="5" width="25.42578125" style="10" bestFit="1" customWidth="1"/>
    <col min="6" max="6" width="19.5703125" style="10" bestFit="1" customWidth="1"/>
    <col min="7" max="7" width="25.42578125" style="10" bestFit="1" customWidth="1"/>
    <col min="8" max="8" width="36" style="10" bestFit="1" customWidth="1"/>
    <col min="9" max="9" width="25.42578125" style="10" bestFit="1" customWidth="1"/>
    <col min="10" max="10" width="43.85546875" style="10" bestFit="1" customWidth="1"/>
    <col min="11" max="11" width="25.42578125" style="10" bestFit="1" customWidth="1"/>
    <col min="12" max="12" width="28.28515625" style="10" bestFit="1" customWidth="1"/>
    <col min="13" max="13" width="25.42578125" style="10" bestFit="1" customWidth="1"/>
    <col min="14" max="14" width="27.42578125" style="10" bestFit="1" customWidth="1"/>
    <col min="15" max="15" width="25.42578125" style="10" bestFit="1" customWidth="1"/>
    <col min="16" max="16" width="26.85546875" style="10" bestFit="1" customWidth="1"/>
    <col min="17" max="17" width="25.42578125" style="10" bestFit="1" customWidth="1"/>
    <col min="18" max="18" width="55.42578125" style="10" bestFit="1" customWidth="1"/>
    <col min="19" max="19" width="18.42578125" style="10" bestFit="1" customWidth="1"/>
    <col min="20" max="16384" width="9.140625" style="10"/>
  </cols>
  <sheetData>
    <row r="1" spans="1:17" s="12" customFormat="1" ht="52.5" customHeight="1" thickBot="1" x14ac:dyDescent="0.3">
      <c r="A1" s="36">
        <v>56</v>
      </c>
      <c r="B1" s="35"/>
      <c r="C1" s="39" t="s">
        <v>0</v>
      </c>
      <c r="D1" s="38">
        <v>0</v>
      </c>
      <c r="E1" s="34" t="s">
        <v>1</v>
      </c>
      <c r="F1" s="38">
        <v>0</v>
      </c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17" ht="45.75" customHeight="1" thickBot="1" x14ac:dyDescent="0.3">
      <c r="A2" s="47" t="s">
        <v>17</v>
      </c>
      <c r="B2" s="46"/>
      <c r="C2" s="48"/>
      <c r="D2" s="47" t="s">
        <v>18</v>
      </c>
      <c r="E2" s="48"/>
      <c r="F2" s="47" t="s">
        <v>19</v>
      </c>
      <c r="G2" s="46"/>
      <c r="H2" s="47" t="s">
        <v>20</v>
      </c>
      <c r="I2" s="48"/>
      <c r="J2" s="46" t="s">
        <v>21</v>
      </c>
      <c r="K2" s="46"/>
      <c r="L2" s="47" t="s">
        <v>22</v>
      </c>
      <c r="M2" s="48"/>
      <c r="N2" s="46" t="s">
        <v>23</v>
      </c>
      <c r="O2" s="46"/>
      <c r="P2" s="47" t="s">
        <v>24</v>
      </c>
      <c r="Q2" s="48"/>
    </row>
    <row r="3" spans="1:17" s="11" customFormat="1" ht="38.25" thickBot="1" x14ac:dyDescent="0.3">
      <c r="A3" s="23" t="s">
        <v>15</v>
      </c>
      <c r="B3" s="24" t="s">
        <v>36</v>
      </c>
      <c r="C3" s="26" t="s">
        <v>25</v>
      </c>
      <c r="D3" s="23" t="s">
        <v>8</v>
      </c>
      <c r="E3" s="26" t="s">
        <v>26</v>
      </c>
      <c r="F3" s="25" t="s">
        <v>7</v>
      </c>
      <c r="G3" s="26" t="s">
        <v>27</v>
      </c>
      <c r="H3" s="25" t="s">
        <v>35</v>
      </c>
      <c r="I3" s="26" t="s">
        <v>28</v>
      </c>
      <c r="J3" s="23" t="s">
        <v>29</v>
      </c>
      <c r="K3" s="26" t="s">
        <v>30</v>
      </c>
      <c r="L3" s="25" t="s">
        <v>9</v>
      </c>
      <c r="M3" s="26" t="s">
        <v>31</v>
      </c>
      <c r="N3" s="23" t="s">
        <v>10</v>
      </c>
      <c r="O3" s="26" t="s">
        <v>32</v>
      </c>
      <c r="P3" s="23" t="s">
        <v>16</v>
      </c>
      <c r="Q3" s="26" t="s">
        <v>33</v>
      </c>
    </row>
    <row r="4" spans="1:17" s="21" customFormat="1" x14ac:dyDescent="0.25">
      <c r="A4" s="31"/>
      <c r="B4" s="29" t="str">
        <f>IFERROR(MATCH(GetTable[[#This Row],[Acrobat file]],GetFileNames[],0),"0")</f>
        <v>0</v>
      </c>
      <c r="C4" s="49" t="str" cm="1">
        <f t="array" ref="C4">getDocumentName(A4,B4)</f>
        <v>NOT FOUND!</v>
      </c>
      <c r="D4" s="27"/>
      <c r="E4" s="50" t="str">
        <f>getDocumentTitle(D4,B4)</f>
        <v>FAIL</v>
      </c>
      <c r="F4" s="32"/>
      <c r="G4" s="49" t="str" cm="1">
        <f t="array" ref="G4">getDocumentRevision(F4,B4)</f>
        <v/>
      </c>
      <c r="H4" s="28"/>
      <c r="I4" s="50" t="str" cm="1">
        <f t="array" ref="I4">getDocumentRevisionDate(G4,B4)</f>
        <v/>
      </c>
      <c r="J4" s="32" t="s">
        <v>34</v>
      </c>
      <c r="K4" s="51" t="str" cm="1">
        <f t="array" ref="K4">getDocumentRevisionDescription(G4,B4)</f>
        <v/>
      </c>
      <c r="L4" s="28"/>
      <c r="M4" s="29" t="str" cm="1">
        <f t="array" ref="M4">getDocumentFormat(B4)</f>
        <v>NOT FOUND!</v>
      </c>
      <c r="N4" s="32"/>
      <c r="O4" s="51" t="str" cm="1">
        <f t="array" ref="O4">getDocumentSheetsQuantity(B4)</f>
        <v>NOT FOUND!</v>
      </c>
      <c r="P4" s="32"/>
      <c r="Q4" s="52" t="str" cm="1">
        <f t="array" ref="Q4">getDocumentDPNumber(P4,B4)</f>
        <v>NOT FOUND!</v>
      </c>
    </row>
    <row r="5" spans="1:17" s="21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s="21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s="21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s="21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s="21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s="21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s="21" customFormat="1" x14ac:dyDescent="0.25">
      <c r="A11" s="10"/>
      <c r="B11" s="10"/>
      <c r="C11" s="10"/>
      <c r="D11" s="10"/>
      <c r="E11" s="1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s="21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s="21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s="21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s="21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s="21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s="21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s="21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s="21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s="21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s="21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s="21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s="21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s="21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s="21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</row>
    <row r="26" spans="1:17" s="21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</row>
    <row r="27" spans="1:17" s="21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17" s="21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17" s="21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17" s="21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  <row r="31" spans="1:17" s="21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17" s="21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 s="21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</row>
    <row r="34" spans="1:17" s="21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s="21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s="21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</row>
    <row r="37" spans="1:17" s="21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</row>
    <row r="38" spans="1:17" s="21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</row>
    <row r="39" spans="1:17" s="21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</row>
    <row r="40" spans="1:17" s="21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</row>
    <row r="41" spans="1:17" s="21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 s="21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</row>
    <row r="43" spans="1:17" s="21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</row>
    <row r="44" spans="1:17" s="21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</row>
    <row r="45" spans="1:17" s="21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 s="21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</row>
    <row r="47" spans="1:17" s="21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</row>
    <row r="48" spans="1:17" s="21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</row>
    <row r="49" spans="1:17" s="21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</row>
    <row r="50" spans="1:17" s="21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</row>
    <row r="51" spans="1:17" s="21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</row>
    <row r="52" spans="1:17" s="21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</row>
    <row r="53" spans="1:17" s="21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</row>
    <row r="54" spans="1:17" s="21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</row>
    <row r="55" spans="1:17" s="21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</row>
    <row r="56" spans="1:17" s="21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</row>
    <row r="57" spans="1:17" s="21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</row>
    <row r="58" spans="1:17" s="21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</row>
    <row r="59" spans="1:17" s="21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</row>
    <row r="60" spans="1:17" s="21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</row>
    <row r="61" spans="1:17" s="21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</row>
    <row r="62" spans="1:17" s="21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</row>
    <row r="63" spans="1:17" s="21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</row>
    <row r="64" spans="1:17" s="21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</row>
    <row r="65" spans="1:17" s="21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</row>
    <row r="66" spans="1:17" s="21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</row>
    <row r="67" spans="1:17" s="21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</row>
    <row r="68" spans="1:17" s="21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</row>
    <row r="69" spans="1:17" s="21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</row>
    <row r="70" spans="1:17" s="21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</row>
    <row r="71" spans="1:17" s="21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</row>
    <row r="72" spans="1:17" s="21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</row>
    <row r="73" spans="1:17" s="21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</row>
    <row r="74" spans="1:17" s="21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</row>
    <row r="75" spans="1:17" s="21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</row>
  </sheetData>
  <mergeCells count="8">
    <mergeCell ref="N2:O2"/>
    <mergeCell ref="L2:M2"/>
    <mergeCell ref="P2:Q2"/>
    <mergeCell ref="A2:C2"/>
    <mergeCell ref="D2:E2"/>
    <mergeCell ref="F2:G2"/>
    <mergeCell ref="H2:I2"/>
    <mergeCell ref="J2:K2"/>
  </mergeCells>
  <phoneticPr fontId="18" type="noConversion"/>
  <conditionalFormatting sqref="F1">
    <cfRule type="dataBar" priority="30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1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{242AEDCF-9BAD-47B2-B91F-33D3402A9F00}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242AEDCF-9BAD-47B2-B91F-33D3402A9F00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31d397da-b7df-4110-ab96-ab60b7f606b3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Import_file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2021-11-22T14:02:50Z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