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glazkov\Documents\pythonProject\pdfReader\release\"/>
    </mc:Choice>
  </mc:AlternateContent>
  <xr:revisionPtr revIDLastSave="0" documentId="13_ncr:1_{EE285E2A-65FA-4D36-95F0-96106C5CC89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AWP1A-VLS-KMD" sheetId="1" r:id="rId1"/>
    <sheet name="PDFContent_sheet" sheetId="4" r:id="rId2"/>
    <sheet name="CheckTable" sheetId="5" r:id="rId3"/>
  </sheets>
  <functionGroups builtInGroupCount="19"/>
  <externalReferences>
    <externalReference r:id="rId4"/>
  </externalReferences>
  <definedNames>
    <definedName name="_xlnm._FilterDatabase" localSheetId="0" hidden="1">'AWP1A-VLS-KMD'!$A$3:$P$4</definedName>
    <definedName name="ExternalData_1" localSheetId="1" hidden="1">PDFContent_sheet!$C$1:$C$2</definedName>
    <definedName name="ExternalData_2" localSheetId="2" hidden="1">CheckTable!$A$3:$R$4</definedName>
    <definedName name="_xlnm.Print_Titles" localSheetId="0">AWP1A-VLS-[1]KMD!$1:$1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5" l="1"/>
  <c r="C4" i="5" a="1"/>
  <c r="E4" i="5"/>
  <c r="I4" i="5" a="1"/>
  <c r="M4" i="5" a="1"/>
  <c r="S4" i="5" a="1"/>
  <c r="G4" i="5" a="1"/>
  <c r="K4" i="5" a="1"/>
  <c r="O4" i="5" a="1"/>
  <c r="O4" i="5" l="1"/>
  <c r="K4" i="5"/>
  <c r="G4" i="5"/>
  <c r="S4" i="5"/>
  <c r="M4" i="5"/>
  <c r="I4" i="5"/>
  <c r="C4" i="5"/>
  <c r="G1" i="1"/>
  <c r="C1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2000000}" keepAlive="1" name="Query - GetFileNames" description="Connection to the 'GetFileNames' query in the workbook." type="5" refreshedVersion="7" background="1" saveData="1">
    <dbPr connection="Provider=Microsoft.Mashup.OleDb.1;Data Source=$Workbook$;Location=GetFileNames;Extended Properties=&quot;&quot;" command="SELECT * FROM [GetFileNames]"/>
  </connection>
  <connection id="2" xr16:uid="{00000000-0015-0000-FFFF-FFFF03000000}" keepAlive="1" name="Query - GetTable" description="Connection to the 'GetTable' query in the workbook." type="5" refreshedVersion="7" background="1" saveData="1">
    <dbPr connection="Provider=Microsoft.Mashup.OleDb.1;Data Source=$Workbook$;Location=GetTable;Extended Properties=&quot;&quot;" command="SELECT * FROM [GetTabl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<sst xmlns="http://schemas.openxmlformats.org/spreadsheetml/2006/main" count="50" uniqueCount="40">
  <si>
    <t>Total number of rows passed</t>
  </si>
  <si>
    <t>Total number of rows failed</t>
  </si>
  <si>
    <t>Project</t>
  </si>
  <si>
    <t>Unit</t>
  </si>
  <si>
    <t>Doc Type</t>
  </si>
  <si>
    <t>Mat Code / 
Dept</t>
  </si>
  <si>
    <t>Serial</t>
  </si>
  <si>
    <t>Document 
Revision</t>
  </si>
  <si>
    <t>Document title</t>
  </si>
  <si>
    <t>Document Revision 
Date</t>
  </si>
  <si>
    <t>Document format</t>
  </si>
  <si>
    <t>Document 
Number of pages</t>
  </si>
  <si>
    <t>Module Number</t>
  </si>
  <si>
    <t>Representation Code</t>
  </si>
  <si>
    <t>Document Language</t>
  </si>
  <si>
    <t>Russian Title</t>
  </si>
  <si>
    <t>Acrobat file</t>
  </si>
  <si>
    <t>Delivery Package</t>
  </si>
  <si>
    <t>Number of drawing</t>
  </si>
  <si>
    <t>Title of drawing</t>
  </si>
  <si>
    <t>Revision of drawing</t>
  </si>
  <si>
    <t>Revision date</t>
  </si>
  <si>
    <t>Revision description</t>
  </si>
  <si>
    <t>Drawing format</t>
  </si>
  <si>
    <t>Number of pages</t>
  </si>
  <si>
    <t>Title of drawing ( in russian )</t>
  </si>
  <si>
    <t>Delivery package</t>
  </si>
  <si>
    <t>Column number</t>
  </si>
  <si>
    <t>Document number present in pdf file</t>
  </si>
  <si>
    <r>
      <t xml:space="preserve">present in PDF </t>
    </r>
    <r>
      <rPr>
        <sz val="2"/>
        <rFont val="Calibri"/>
        <family val="2"/>
        <charset val="204"/>
        <scheme val="minor"/>
      </rPr>
      <t>1</t>
    </r>
  </si>
  <si>
    <r>
      <t xml:space="preserve">present in PDF </t>
    </r>
    <r>
      <rPr>
        <sz val="2"/>
        <rFont val="Calibri"/>
        <family val="2"/>
        <charset val="204"/>
        <scheme val="minor"/>
      </rPr>
      <t>2</t>
    </r>
  </si>
  <si>
    <r>
      <t xml:space="preserve">present in PDF </t>
    </r>
    <r>
      <rPr>
        <sz val="2"/>
        <rFont val="Calibri"/>
        <family val="2"/>
        <charset val="204"/>
        <scheme val="minor"/>
      </rPr>
      <t>3</t>
    </r>
  </si>
  <si>
    <t>Document Revision Description</t>
  </si>
  <si>
    <r>
      <t xml:space="preserve">present in PDF </t>
    </r>
    <r>
      <rPr>
        <sz val="2"/>
        <rFont val="Calibri"/>
        <family val="2"/>
        <charset val="204"/>
        <scheme val="minor"/>
      </rPr>
      <t>4</t>
    </r>
  </si>
  <si>
    <r>
      <t xml:space="preserve">present in PDF </t>
    </r>
    <r>
      <rPr>
        <sz val="2"/>
        <rFont val="Calibri"/>
        <family val="2"/>
        <charset val="204"/>
        <scheme val="minor"/>
      </rPr>
      <t>5</t>
    </r>
  </si>
  <si>
    <r>
      <t xml:space="preserve">present in PDF </t>
    </r>
    <r>
      <rPr>
        <sz val="2"/>
        <rFont val="Calibri"/>
        <family val="2"/>
        <charset val="204"/>
        <scheme val="minor"/>
      </rPr>
      <t>6</t>
    </r>
  </si>
  <si>
    <r>
      <t xml:space="preserve">present in PDF </t>
    </r>
    <r>
      <rPr>
        <sz val="2"/>
        <rFont val="Calibri"/>
        <family val="2"/>
        <charset val="204"/>
        <scheme val="minor"/>
      </rPr>
      <t>7</t>
    </r>
  </si>
  <si>
    <r>
      <t xml:space="preserve">present in PDF </t>
    </r>
    <r>
      <rPr>
        <sz val="2"/>
        <rFont val="Calibri"/>
        <family val="2"/>
        <charset val="204"/>
        <scheme val="minor"/>
      </rPr>
      <t>8</t>
    </r>
  </si>
  <si>
    <t>Issued for Construction</t>
  </si>
  <si>
    <t>File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</si>
</sst>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charset val="238"/>
      <scheme val="minor"/>
    </font>
    <font>
      <sz val="14"/>
      <name val="Calibri"/>
      <family val="2"/>
      <charset val="238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FFFFFF"/>
      <name val="Calibri"/>
      <family val="2"/>
      <charset val="238"/>
      <scheme val="minor"/>
    </font>
    <font>
      <sz val="11"/>
      <name val="Calibri"/>
      <family val="2"/>
      <charset val="204"/>
      <scheme val="minor"/>
    </font>
    <font>
      <b/>
      <sz val="14"/>
      <color theme="0"/>
      <name val="Calibri"/>
      <family val="2"/>
      <charset val="238"/>
      <scheme val="minor"/>
    </font>
    <font>
      <sz val="2"/>
      <name val="Calibri"/>
      <family val="2"/>
      <charset val="204"/>
      <scheme val="minor"/>
    </font>
    <font>
      <sz val="11"/>
      <name val="Calibri"/>
      <family val="2"/>
      <charset val="238"/>
      <scheme val="minor"/>
    </font>
    <font>
      <sz val="10"/>
      <color theme="1"/>
      <name val="Arial"/>
      <family val="2"/>
    </font>
    <font>
      <sz val="11"/>
      <color rgb="FFFFFFFF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  <charset val="204"/>
    </font>
  </fonts>
  <fills count="4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DEBF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BFEF0"/>
        <bgColor indexed="64"/>
      </patternFill>
    </fill>
    <fill>
      <patternFill patternType="solid">
        <fgColor rgb="FF797979"/>
        <bgColor indexed="64"/>
      </patternFill>
    </fill>
    <fill>
      <patternFill patternType="solid">
        <fgColor rgb="FFFFFFB9"/>
        <bgColor indexed="64"/>
      </patternFill>
    </fill>
    <fill>
      <patternFill patternType="solid">
        <fgColor rgb="FFB0F868"/>
        <bgColor indexed="64"/>
      </patternFill>
    </fill>
    <fill>
      <patternFill patternType="solid">
        <fgColor rgb="FFF48F6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B4FFB4"/>
        <bgColor indexed="64"/>
      </patternFill>
    </fill>
    <fill>
      <patternFill patternType="solid">
        <fgColor rgb="FFFBFEF0"/>
        <bgColor rgb="FFFFB482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 style="medium">
        <color theme="2" tint="-0.499984740745262"/>
      </left>
      <right/>
      <top style="medium">
        <color theme="2" tint="-0.499984740745262"/>
      </top>
      <bottom/>
      <diagonal/>
    </border>
    <border>
      <left/>
      <right style="medium">
        <color theme="2" tint="-0.499984740745262"/>
      </right>
      <top style="medium">
        <color theme="2" tint="-0.499984740745262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 style="medium">
        <color theme="4" tint="-0.2499465926084170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9" fillId="0" borderId="0">
      <alignment horizontal="left" vertical="center"/>
    </xf>
  </cellStyleXfs>
  <cellXfs count="48">
    <xf numFmtId="0" fontId="0" fillId="0" borderId="0" xfId="0"/>
    <xf numFmtId="49" fontId="0" fillId="0" borderId="0" xfId="0" applyNumberFormat="1"/>
    <xf numFmtId="49" fontId="0" fillId="0" borderId="11" xfId="0" applyNumberFormat="1" applyBorder="1"/>
    <xf numFmtId="49" fontId="0" fillId="0" borderId="0" xfId="0" applyNumberFormat="1" applyFill="1"/>
    <xf numFmtId="49" fontId="0" fillId="0" borderId="11" xfId="0" applyNumberFormat="1" applyBorder="1" applyAlignment="1">
      <alignment horizontal="right"/>
    </xf>
    <xf numFmtId="49" fontId="0" fillId="34" borderId="11" xfId="0" applyNumberFormat="1" applyFill="1" applyBorder="1"/>
    <xf numFmtId="49" fontId="0" fillId="35" borderId="11" xfId="0" applyNumberFormat="1" applyFill="1" applyBorder="1"/>
    <xf numFmtId="49" fontId="19" fillId="33" borderId="10" xfId="0" applyNumberFormat="1" applyFont="1" applyFill="1" applyBorder="1" applyAlignment="1">
      <alignment horizontal="center" vertical="center" wrapText="1"/>
    </xf>
    <xf numFmtId="49" fontId="19" fillId="33" borderId="12" xfId="0" applyNumberFormat="1" applyFont="1" applyFill="1" applyBorder="1" applyAlignment="1">
      <alignment horizontal="center" vertical="center" wrapText="1"/>
    </xf>
    <xf numFmtId="49" fontId="20" fillId="0" borderId="0" xfId="0" applyNumberFormat="1" applyFont="1"/>
    <xf numFmtId="0" fontId="0" fillId="0" borderId="0" xfId="0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37" borderId="13" xfId="0" applyFill="1" applyBorder="1" applyAlignment="1">
      <alignment horizontal="center" vertical="center"/>
    </xf>
    <xf numFmtId="0" fontId="24" fillId="0" borderId="0" xfId="0" applyFont="1" applyFill="1" applyBorder="1" applyAlignment="1">
      <alignment horizontal="center" vertical="center"/>
    </xf>
    <xf numFmtId="0" fontId="0" fillId="0" borderId="0" xfId="0" applyProtection="1">
      <protection locked="0"/>
    </xf>
    <xf numFmtId="49" fontId="25" fillId="0" borderId="0" xfId="0" applyNumberFormat="1" applyFont="1" applyFill="1"/>
    <xf numFmtId="49" fontId="23" fillId="0" borderId="0" xfId="0" applyNumberFormat="1" applyFont="1" applyFill="1" applyBorder="1" applyAlignment="1">
      <alignment horizontal="center" vertical="center"/>
    </xf>
    <xf numFmtId="49" fontId="0" fillId="40" borderId="16" xfId="0" applyNumberFormat="1" applyFill="1" applyBorder="1" applyAlignment="1">
      <alignment horizontal="center" vertical="center" wrapText="1"/>
    </xf>
    <xf numFmtId="49" fontId="23" fillId="0" borderId="17" xfId="0" applyNumberFormat="1" applyFont="1" applyBorder="1" applyAlignment="1">
      <alignment horizontal="center" vertical="center"/>
    </xf>
    <xf numFmtId="49" fontId="0" fillId="41" borderId="16" xfId="0" applyNumberFormat="1" applyFill="1" applyBorder="1" applyAlignment="1">
      <alignment horizontal="center" vertical="center" wrapText="1"/>
    </xf>
    <xf numFmtId="0" fontId="21" fillId="36" borderId="15" xfId="0" applyFont="1" applyFill="1" applyBorder="1" applyAlignment="1">
      <alignment horizontal="center" vertical="center" wrapText="1"/>
    </xf>
    <xf numFmtId="0" fontId="21" fillId="36" borderId="19" xfId="0" applyFont="1" applyFill="1" applyBorder="1" applyAlignment="1">
      <alignment horizontal="center" vertical="center" wrapText="1"/>
    </xf>
    <xf numFmtId="0" fontId="21" fillId="36" borderId="18" xfId="0" applyFont="1" applyFill="1" applyBorder="1" applyAlignment="1">
      <alignment horizontal="center" vertical="center" wrapText="1"/>
    </xf>
    <xf numFmtId="0" fontId="22" fillId="39" borderId="20" xfId="0" applyFont="1" applyFill="1" applyBorder="1" applyAlignment="1">
      <alignment horizontal="center" vertical="center" wrapText="1"/>
    </xf>
    <xf numFmtId="0" fontId="24" fillId="38" borderId="0" xfId="0" applyFont="1" applyFill="1" applyProtection="1"/>
    <xf numFmtId="0" fontId="30" fillId="0" borderId="0" xfId="0" applyFont="1" applyProtection="1">
      <protection locked="0"/>
    </xf>
    <xf numFmtId="49" fontId="28" fillId="0" borderId="0" xfId="0" applyNumberFormat="1" applyFont="1" applyProtection="1">
      <protection locked="0"/>
    </xf>
    <xf numFmtId="49" fontId="20" fillId="0" borderId="0" xfId="0" applyNumberFormat="1" applyFont="1" applyProtection="1">
      <protection locked="0"/>
    </xf>
    <xf numFmtId="49" fontId="30" fillId="0" borderId="0" xfId="0" applyNumberFormat="1" applyFont="1" applyProtection="1">
      <protection locked="0"/>
    </xf>
    <xf numFmtId="49" fontId="0" fillId="0" borderId="0" xfId="0" applyNumberFormat="1" applyProtection="1">
      <protection locked="0"/>
    </xf>
    <xf numFmtId="0" fontId="31" fillId="0" borderId="0" xfId="0" applyFont="1" applyProtection="1">
      <protection locked="0"/>
    </xf>
    <xf numFmtId="0" fontId="0" fillId="37" borderId="0" xfId="0" applyFill="1" applyBorder="1" applyAlignment="1">
      <alignment horizontal="center" vertical="center"/>
    </xf>
    <xf numFmtId="0" fontId="0" fillId="37" borderId="0" xfId="0" applyFill="1" applyBorder="1" applyAlignment="1">
      <alignment horizontal="left" vertical="center"/>
    </xf>
    <xf numFmtId="0" fontId="32" fillId="42" borderId="21" xfId="0" applyFont="1" applyFill="1" applyBorder="1" applyAlignment="1">
      <alignment horizontal="center" vertical="center" wrapText="1"/>
    </xf>
    <xf numFmtId="49" fontId="32" fillId="42" borderId="21" xfId="0" applyNumberFormat="1" applyFont="1" applyFill="1" applyBorder="1" applyAlignment="1">
      <alignment horizontal="center" vertical="center" wrapText="1"/>
    </xf>
    <xf numFmtId="49" fontId="0" fillId="37" borderId="0" xfId="0" applyNumberFormat="1" applyFill="1" applyBorder="1" applyAlignment="1">
      <alignment horizontal="center" vertical="center"/>
    </xf>
    <xf numFmtId="0" fontId="20" fillId="0" borderId="0" xfId="0" applyFont="1"/>
    <xf numFmtId="0" fontId="0" fillId="0" borderId="0" xfId="0" applyBorder="1" applyAlignment="1">
      <alignment horizontal="center" vertical="center"/>
    </xf>
    <xf numFmtId="0" fontId="20" fillId="38" borderId="0" xfId="0" applyFont="1" applyFill="1" applyProtection="1"/>
    <xf numFmtId="0" fontId="20" fillId="0" borderId="0" xfId="0" applyFont="1" applyProtection="1">
      <protection locked="0"/>
    </xf>
    <xf numFmtId="0" fontId="0" fillId="37" borderId="0" xfId="0" applyNumberFormat="1" applyFill="1" applyBorder="1" applyAlignment="1">
      <alignment horizontal="center" vertical="center"/>
    </xf>
    <xf numFmtId="0" fontId="0" fillId="43" borderId="14" xfId="0" applyNumberFormat="1" applyFill="1" applyBorder="1" applyAlignment="1">
      <alignment horizontal="center" vertical="center"/>
    </xf>
    <xf numFmtId="0" fontId="26" fillId="36" borderId="15" xfId="0" applyFont="1" applyFill="1" applyBorder="1" applyAlignment="1">
      <alignment horizontal="center" vertical="center" wrapText="1"/>
    </xf>
    <xf numFmtId="0" fontId="26" fillId="36" borderId="20" xfId="0" applyFont="1" applyFill="1" applyBorder="1" applyAlignment="1">
      <alignment horizontal="center" vertical="center" wrapText="1"/>
    </xf>
    <xf numFmtId="0" fontId="26" fillId="36" borderId="18" xfId="0" applyFont="1" applyFill="1" applyBorder="1" applyAlignment="1">
      <alignment horizontal="center" vertical="center" wrapText="1"/>
    </xf>
    <xf numFmtId="0" fontId="0" fillId="44" borderId="0" xfId="0" applyNumberFormat="1" applyFill="1" applyBorder="1" applyAlignment="1">
      <alignment horizontal="center" vertical="center"/>
    </xf>
    <xf numFmtId="0" fontId="0" fillId="37" borderId="14" xfId="0" applyNumberFormat="1" applyFill="1" applyBorder="1" applyAlignment="1">
      <alignment horizontal="center"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00000000-0005-0000-0000-000025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5">
    <dxf>
      <font>
        <b/>
        <i val="0"/>
        <strike val="0"/>
        <color theme="1"/>
      </font>
      <fill>
        <patternFill>
          <bgColor rgb="FF92D050"/>
        </patternFill>
      </fill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left" vertical="center" textRotation="0" wrapText="0" indent="0" justifyLastLine="0" shrinkToFit="0" readingOrder="0"/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left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B4FFB4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auto="1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ill>
        <patternFill patternType="solid">
          <fgColor indexed="64"/>
          <bgColor rgb="FFFBFEF0"/>
        </patternFill>
      </fill>
      <alignment horizontal="center" vertical="center" textRotation="0" indent="0" justifyLastLine="0" shrinkToFit="0" readingOrder="0"/>
    </dxf>
    <dxf>
      <border>
        <bottom style="medium">
          <color theme="1"/>
        </bottom>
      </border>
    </dxf>
    <dxf>
      <font>
        <strike val="0"/>
        <outline val="0"/>
        <shadow val="0"/>
        <u val="none"/>
        <vertAlign val="baseline"/>
        <sz val="14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</dxfs>
  <tableStyles count="0" defaultTableStyle="TableStyleMedium2" defaultPivotStyle="PivotStyleLight16"/>
  <colors>
    <mruColors>
      <color rgb="FFB0F868"/>
      <color rgb="FFF48F66"/>
      <color rgb="FFFFFFB9"/>
      <color rgb="FFAAF96F"/>
      <color rgb="FF797979"/>
      <color rgb="FFF5F52B"/>
      <color rgb="FFFBFEF0"/>
      <color rgb="FFFFB482"/>
      <color rgb="FFB4FFB4"/>
      <color rgb="FFFF82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eetMetadata" Target="metadata.xml"/><Relationship Id="rId14" Type="http://schemas.openxmlformats.org/officeDocument/2006/relationships/customXml" Target="../customXml/item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176893</xdr:colOff>
      <xdr:row>0</xdr:row>
      <xdr:rowOff>149680</xdr:rowOff>
    </xdr:from>
    <xdr:to>
      <xdr:col>0</xdr:col>
      <xdr:colOff>2585357</xdr:colOff>
      <xdr:row>4</xdr:row>
      <xdr:rowOff>13608</xdr:rowOff>
    </xdr:to>
    <xdr:sp macro="[0]!clearShee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07E09C5-CCF9-4A40-8D96-1F47050DBF45}"/>
            </a:ext>
          </a:extLst>
        </xdr:cNvPr>
        <xdr:cNvSpPr/>
      </xdr:nvSpPr>
      <xdr:spPr>
        <a:xfrm>
          <a:off x="176893" y="149680"/>
          <a:ext cx="2408464" cy="625928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>
              <a:solidFill>
                <a:sysClr val="windowText" lastClr="000000"/>
              </a:solidFill>
              <a:latin typeface="Eras Light ITC" panose="020B0402030504020804" pitchFamily="34" charset="0"/>
              <a:ea typeface="+mn-ea"/>
              <a:cs typeface="+mn-cs"/>
            </a:rPr>
            <a:t>Clear previous Data</a:t>
          </a:r>
          <a:endParaRPr lang="ru-RU" sz="2000">
            <a:solidFill>
              <a:sysClr val="windowText" lastClr="000000"/>
            </a:solidFill>
            <a:latin typeface="Eras Light ITC" panose="020B04020305040208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179615</xdr:colOff>
      <xdr:row>9</xdr:row>
      <xdr:rowOff>43544</xdr:rowOff>
    </xdr:from>
    <xdr:to>
      <xdr:col>0</xdr:col>
      <xdr:colOff>2588079</xdr:colOff>
      <xdr:row>15</xdr:row>
      <xdr:rowOff>40822</xdr:rowOff>
    </xdr:to>
    <xdr:sp macro="[0]!mai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F78DE30-6C52-43FA-A797-348952FC93F6}"/>
            </a:ext>
          </a:extLst>
        </xdr:cNvPr>
        <xdr:cNvSpPr/>
      </xdr:nvSpPr>
      <xdr:spPr>
        <a:xfrm>
          <a:off x="179615" y="1758044"/>
          <a:ext cx="2408464" cy="1140278"/>
        </a:xfrm>
        <a:prstGeom prst="roundRect">
          <a:avLst/>
        </a:prstGeom>
        <a:gradFill flip="none" rotWithShape="1">
          <a:gsLst>
            <a:gs pos="0">
              <a:srgbClr val="B0F868">
                <a:shade val="30000"/>
                <a:satMod val="115000"/>
              </a:srgbClr>
            </a:gs>
            <a:gs pos="50000">
              <a:srgbClr val="B0F868">
                <a:shade val="67500"/>
                <a:satMod val="115000"/>
              </a:srgbClr>
            </a:gs>
            <a:gs pos="100000">
              <a:srgbClr val="B0F868">
                <a:shade val="100000"/>
                <a:satMod val="115000"/>
              </a:srgbClr>
            </a:gs>
          </a:gsLst>
          <a:lin ang="13500000" scaled="1"/>
          <a:tileRect/>
        </a:gra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ysClr val="windowText" lastClr="000000"/>
              </a:solidFill>
              <a:latin typeface="Eras Light ITC" panose="020B0402030504020804" pitchFamily="34" charset="0"/>
            </a:rPr>
            <a:t>Import data</a:t>
          </a:r>
          <a:r>
            <a:rPr lang="en-US" sz="2000" baseline="0">
              <a:solidFill>
                <a:sysClr val="windowText" lastClr="000000"/>
              </a:solidFill>
              <a:latin typeface="Eras Light ITC" panose="020B0402030504020804" pitchFamily="34" charset="0"/>
            </a:rPr>
            <a:t>        from PDF</a:t>
          </a:r>
          <a:endParaRPr lang="ru-RU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179615</xdr:colOff>
      <xdr:row>4</xdr:row>
      <xdr:rowOff>179615</xdr:rowOff>
    </xdr:from>
    <xdr:to>
      <xdr:col>0</xdr:col>
      <xdr:colOff>2588079</xdr:colOff>
      <xdr:row>8</xdr:row>
      <xdr:rowOff>43543</xdr:rowOff>
    </xdr:to>
    <xdr:sp macro="[0]!refreshQuerie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55D163A-9240-441C-8A79-D25032B18388}"/>
            </a:ext>
          </a:extLst>
        </xdr:cNvPr>
        <xdr:cNvSpPr/>
      </xdr:nvSpPr>
      <xdr:spPr>
        <a:xfrm>
          <a:off x="179615" y="941615"/>
          <a:ext cx="2408464" cy="625928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>
              <a:solidFill>
                <a:sysClr val="windowText" lastClr="000000"/>
              </a:solidFill>
              <a:latin typeface="Eras Light ITC" panose="020B0402030504020804" pitchFamily="34" charset="0"/>
              <a:ea typeface="+mn-ea"/>
              <a:cs typeface="+mn-cs"/>
            </a:rPr>
            <a:t>Refresh all queries</a:t>
          </a:r>
          <a:endParaRPr lang="ru-RU" sz="2000">
            <a:solidFill>
              <a:sysClr val="windowText" lastClr="000000"/>
            </a:solidFill>
            <a:latin typeface="Eras Light ITC" panose="020B04020305040208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182336</xdr:colOff>
      <xdr:row>16</xdr:row>
      <xdr:rowOff>19050</xdr:rowOff>
    </xdr:from>
    <xdr:to>
      <xdr:col>0</xdr:col>
      <xdr:colOff>2590800</xdr:colOff>
      <xdr:row>19</xdr:row>
      <xdr:rowOff>73478</xdr:rowOff>
    </xdr:to>
    <xdr:sp macro="[0]!goToTabl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542948DC-EAB4-4C39-9EDB-72796BD90703}"/>
            </a:ext>
          </a:extLst>
        </xdr:cNvPr>
        <xdr:cNvSpPr/>
      </xdr:nvSpPr>
      <xdr:spPr>
        <a:xfrm>
          <a:off x="182336" y="3067050"/>
          <a:ext cx="2408464" cy="625928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>
              <a:solidFill>
                <a:sysClr val="windowText" lastClr="000000"/>
              </a:solidFill>
              <a:latin typeface="Eras Light ITC" panose="020B0402030504020804" pitchFamily="34" charset="0"/>
              <a:ea typeface="+mn-ea"/>
              <a:cs typeface="+mn-cs"/>
            </a:rPr>
            <a:t>Go to table</a:t>
          </a:r>
          <a:endParaRPr lang="ru-RU" sz="2000">
            <a:solidFill>
              <a:sysClr val="windowText" lastClr="000000"/>
            </a:solidFill>
            <a:latin typeface="Eras Light ITC" panose="020B04020305040208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390525</xdr:colOff>
      <xdr:row>20</xdr:row>
      <xdr:rowOff>104775</xdr:rowOff>
    </xdr:from>
    <xdr:to>
      <xdr:col>0</xdr:col>
      <xdr:colOff>2619376</xdr:colOff>
      <xdr:row>22</xdr:row>
      <xdr:rowOff>0</xdr:rowOff>
    </xdr:to>
    <xdr:sp macro="" textlink="">
      <xdr:nvSpPr>
        <xdr:cNvPr id="11" name="tb_negative">
          <a:extLst>
            <a:ext uri="{FF2B5EF4-FFF2-40B4-BE49-F238E27FC236}">
              <a16:creationId xmlns:a16="http://schemas.microsoft.com/office/drawing/2014/main" id="{3C92307E-6A6D-4268-90B2-116574EFD7C7}"/>
            </a:ext>
          </a:extLst>
        </xdr:cNvPr>
        <xdr:cNvSpPr/>
      </xdr:nvSpPr>
      <xdr:spPr>
        <a:xfrm>
          <a:off x="390525" y="3914775"/>
          <a:ext cx="2228851" cy="276225"/>
        </a:xfrm>
        <a:prstGeom prst="snip1Rect">
          <a:avLst>
            <a:gd name="adj" fmla="val 46552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KMD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MD"/>
    </sheetNames>
    <sheetDataSet>
      <sheetData sheetId="0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100-000000000000}" autoFormatId="16" applyNumberFormats="0" applyBorderFormats="0" applyFontFormats="0" applyPatternFormats="0" applyAlignmentFormats="0" applyWidthHeightFormats="0">
  <queryTableRefresh nextId="1329">
    <queryTableFields count="1">
      <queryTableField id="774" name="Column1" tableColumnId="1"/>
    </queryTableFields>
    <queryTableDeletedFields count="2">
      <deletedField name="Column1"/>
      <deletedField name="Column2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00000000-0016-0000-0200-000001000000}" autoFormatId="16" applyNumberFormats="0" applyBorderFormats="0" applyFontFormats="0" applyPatternFormats="0" applyAlignmentFormats="0" applyWidthHeightFormats="0">
  <queryTableRefresh nextId="58" unboundColumnsRight="1">
    <queryTableFields count="19">
      <queryTableField id="15" name="Acrobat file" tableColumnId="15"/>
      <queryTableField id="29" dataBound="0" tableColumnId="27"/>
      <queryTableField id="49" dataBound="0" tableColumnId="5"/>
      <queryTableField id="7" name="Document title" tableColumnId="7"/>
      <queryTableField id="50" dataBound="0" tableColumnId="9"/>
      <queryTableField id="6" name="Document _x000a_Revision" tableColumnId="6"/>
      <queryTableField id="51" dataBound="0" tableColumnId="11"/>
      <queryTableField id="8" name="Document Revision _x000a_Date" tableColumnId="8"/>
      <queryTableField id="52" dataBound="0" tableColumnId="12"/>
      <queryTableField id="45" name="Document Revision Description" tableColumnId="4"/>
      <queryTableField id="53" dataBound="0" tableColumnId="13"/>
      <queryTableField id="41" name="Document format" tableColumnId="3"/>
      <queryTableField id="54" dataBound="0" tableColumnId="17"/>
      <queryTableField id="10" name="Document _x000a_Number of pages" tableColumnId="10"/>
      <queryTableField id="55" dataBound="0" tableColumnId="18"/>
      <queryTableField id="14" name="Russian Title" tableColumnId="14"/>
      <queryTableField id="56" dataBound="0" tableColumnId="19"/>
      <queryTableField id="16" name="Delivery Package" tableColumnId="16"/>
      <queryTableField id="57" dataBound="0" tableColumnId="20"/>
    </queryTableFields>
    <queryTableDeletedFields count="2">
      <deletedField name="Document format"/>
      <deletedField name="Document format"/>
    </queryTableDeleted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3:P4" insertRow="1" totalsRowShown="0" headerRowDxfId="44" dataDxfId="43" tableBorderDxfId="42">
  <autoFilter ref="A3:P4" xr:uid="{00000000-0009-0000-0100-000001000000}"/>
  <tableColumns count="16">
    <tableColumn id="1" xr3:uid="{00000000-0010-0000-0000-000001000000}" name="Project" dataDxfId="41"/>
    <tableColumn id="2" xr3:uid="{00000000-0010-0000-0000-000002000000}" name="Unit" dataDxfId="40"/>
    <tableColumn id="3" xr3:uid="{00000000-0010-0000-0000-000003000000}" name="Doc Type" dataDxfId="39"/>
    <tableColumn id="4" xr3:uid="{00000000-0010-0000-0000-000004000000}" name="Mat Code / _x000a_Dept" dataDxfId="38"/>
    <tableColumn id="5" xr3:uid="{00000000-0010-0000-0000-000005000000}" name="Serial" dataDxfId="37"/>
    <tableColumn id="6" xr3:uid="{00000000-0010-0000-0000-000006000000}" name="Document _x000a_Revision" dataDxfId="36"/>
    <tableColumn id="7" xr3:uid="{00000000-0010-0000-0000-000007000000}" name="Document title" dataDxfId="35"/>
    <tableColumn id="9" xr3:uid="{00000000-0010-0000-0000-000009000000}" name="Document Revision _x000a_Date" dataDxfId="34"/>
    <tableColumn id="11" xr3:uid="{00000000-0010-0000-0000-00000B000000}" name="Document format" dataDxfId="33"/>
    <tableColumn id="13" xr3:uid="{00000000-0010-0000-0000-00000D000000}" name="Document _x000a_Number of pages" dataDxfId="32"/>
    <tableColumn id="15" xr3:uid="{00000000-0010-0000-0000-00000F000000}" name="Module Number" dataDxfId="31"/>
    <tableColumn id="16" xr3:uid="{00000000-0010-0000-0000-000010000000}" name="Representation Code" dataDxfId="30"/>
    <tableColumn id="17" xr3:uid="{00000000-0010-0000-0000-000011000000}" name="Document Language" dataDxfId="29"/>
    <tableColumn id="18" xr3:uid="{00000000-0010-0000-0000-000012000000}" name="Russian Title" dataDxfId="28"/>
    <tableColumn id="20" xr3:uid="{00000000-0010-0000-0000-000014000000}" name="Acrobat file" dataDxfId="27"/>
    <tableColumn id="22" xr3:uid="{00000000-0010-0000-0000-000016000000}" name="Delivery Package" dataDxf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GetFileNames" displayName="GetFileNames" ref="C1:C2" tableType="queryTable" totalsRowShown="0" headerRowDxfId="25" dataDxfId="24">
  <autoFilter ref="C1:C2" xr:uid="{00000000-0009-0000-0100-000002000000}"/>
  <tableColumns count="1">
    <tableColumn id="1" xr3:uid="{00000000-0010-0000-0100-000001000000}" uniqueName="1" name="File 1" queryTableFieldId="774" dataDxfId="2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GetTable" displayName="GetTable" ref="A3:S4" tableType="queryTable" totalsRowShown="0" headerRowDxfId="23" dataDxfId="21" headerRowBorderDxfId="22">
  <autoFilter ref="A3:S4" xr:uid="{00000000-0009-0000-0100-000003000000}"/>
  <tableColumns count="19">
    <tableColumn id="15" xr3:uid="{00000000-0010-0000-0200-00000F000000}" uniqueName="15" name="Acrobat file" queryTableFieldId="15" dataDxfId="18"/>
    <tableColumn id="27" xr3:uid="{00000000-0010-0000-0200-00001B000000}" uniqueName="27" name="Column number" queryTableFieldId="29" dataDxfId="17">
      <calculatedColumnFormula>IFERROR(MATCH(GetTable[[#This Row],[Acrobat file]],GetFileNames[],0),"0")</calculatedColumnFormula>
    </tableColumn>
    <tableColumn id="5" xr3:uid="{00000000-0010-0000-0200-000005000000}" uniqueName="5" name="Document number present in pdf file" queryTableFieldId="49" dataDxfId="16">
      <calculatedColumnFormula array="1">getDocumentName(A4,B4)</calculatedColumnFormula>
    </tableColumn>
    <tableColumn id="7" xr3:uid="{00000000-0010-0000-0200-000007000000}" uniqueName="7" name="Document title" queryTableFieldId="7" dataDxfId="15"/>
    <tableColumn id="9" xr3:uid="{00000000-0010-0000-0200-000009000000}" uniqueName="9" name="present in PDF 1" queryTableFieldId="50" dataDxfId="14">
      <calculatedColumnFormula>getDocumentTitle(D4,B4)</calculatedColumnFormula>
    </tableColumn>
    <tableColumn id="6" xr3:uid="{00000000-0010-0000-0200-000006000000}" uniqueName="6" name="Document _x000a_Revision" queryTableFieldId="6" dataDxfId="13"/>
    <tableColumn id="11" xr3:uid="{00000000-0010-0000-0200-00000B000000}" uniqueName="11" name="present in PDF 2" queryTableFieldId="51" dataDxfId="12">
      <calculatedColumnFormula array="1">getDocumentRevision(F4,B4)</calculatedColumnFormula>
    </tableColumn>
    <tableColumn id="8" xr3:uid="{00000000-0010-0000-0200-000008000000}" uniqueName="8" name="Document Revision _x000a_Date" queryTableFieldId="8" dataDxfId="11"/>
    <tableColumn id="12" xr3:uid="{00000000-0010-0000-0200-00000C000000}" uniqueName="12" name="present in PDF 3" queryTableFieldId="52" dataDxfId="10">
      <calculatedColumnFormula array="1">getDocumentRevisionDate(H4,B4)</calculatedColumnFormula>
    </tableColumn>
    <tableColumn id="4" xr3:uid="{00000000-0010-0000-0200-000004000000}" uniqueName="4" name="Document Revision Description" queryTableFieldId="45" dataDxfId="9"/>
    <tableColumn id="13" xr3:uid="{00000000-0010-0000-0200-00000D000000}" uniqueName="13" name="present in PDF 4" queryTableFieldId="53" dataDxfId="8">
      <calculatedColumnFormula array="1">getDocumentRevisionDescription(J4,I4,B4)</calculatedColumnFormula>
    </tableColumn>
    <tableColumn id="3" xr3:uid="{00000000-0010-0000-0200-000003000000}" uniqueName="3" name="Document format" queryTableFieldId="41" dataDxfId="7"/>
    <tableColumn id="17" xr3:uid="{00000000-0010-0000-0200-000011000000}" uniqueName="17" name="present in PDF 5" queryTableFieldId="54" dataDxfId="6">
      <calculatedColumnFormula array="1">getDocumentFormat(B4)</calculatedColumnFormula>
    </tableColumn>
    <tableColumn id="10" xr3:uid="{00000000-0010-0000-0200-00000A000000}" uniqueName="10" name="Document _x000a_Number of pages" queryTableFieldId="10" dataDxfId="5"/>
    <tableColumn id="18" xr3:uid="{00000000-0010-0000-0200-000012000000}" uniqueName="18" name="present in PDF 6" queryTableFieldId="55" dataDxfId="4">
      <calculatedColumnFormula array="1">getDocumentSheetsQuantity(B4)</calculatedColumnFormula>
    </tableColumn>
    <tableColumn id="14" xr3:uid="{00000000-0010-0000-0200-00000E000000}" uniqueName="14" name="Russian Title" queryTableFieldId="14" dataDxfId="3"/>
    <tableColumn id="19" xr3:uid="{00000000-0010-0000-0200-000013000000}" uniqueName="19" name="present in PDF 7" queryTableFieldId="56" dataDxfId="1"/>
    <tableColumn id="16" xr3:uid="{00000000-0010-0000-0200-000010000000}" uniqueName="16" name="Delivery Package" queryTableFieldId="16" dataDxfId="2"/>
    <tableColumn id="20" xr3:uid="{00000000-0010-0000-0200-000014000000}" uniqueName="20" name="present in PDF 8" queryTableFieldId="57" dataDxfId="19">
      <calculatedColumnFormula array="1">getDocumentDPNumber(R4,B4)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4"/>
  <sheetViews>
    <sheetView tabSelected="1" zoomScale="70" zoomScaleNormal="70" workbookViewId="0">
      <selection activeCell="B20" sqref="B20"/>
    </sheetView>
  </sheetViews>
  <sheetFormatPr defaultColWidth="11.42578125" defaultRowHeight="15" customHeight="1" x14ac:dyDescent="0.25"/>
  <cols>
    <col min="1" max="1" width="29.5703125" style="16" customWidth="1"/>
    <col min="2" max="5" width="16.42578125" style="16" customWidth="1"/>
    <col min="6" max="6" width="14.7109375" style="16" customWidth="1"/>
    <col min="7" max="7" width="52.140625" style="16" customWidth="1"/>
    <col min="8" max="8" width="16.140625" style="16" customWidth="1"/>
    <col min="9" max="9" width="19" style="16" customWidth="1"/>
    <col min="10" max="10" width="13.5703125" style="16" customWidth="1"/>
    <col min="11" max="11" width="17.42578125" style="16" customWidth="1"/>
    <col min="12" max="12" width="21.28515625" style="16" customWidth="1"/>
    <col min="13" max="13" width="20.7109375" style="16" customWidth="1"/>
    <col min="14" max="14" width="53.7109375" style="16" customWidth="1"/>
    <col min="15" max="15" width="48.140625" style="16" customWidth="1"/>
    <col min="16" max="16" width="18.140625" style="16" customWidth="1"/>
    <col min="17" max="16384" width="11.42578125" style="1"/>
  </cols>
  <sheetData>
    <row r="1" spans="1:16" x14ac:dyDescent="0.25">
      <c r="A1" s="2"/>
      <c r="B1" s="4" t="s">
        <v>0</v>
      </c>
      <c r="C1" s="5">
        <f>CheckTable!D$1</f>
        <v>0</v>
      </c>
      <c r="D1" s="3"/>
      <c r="E1" s="2"/>
      <c r="F1" s="4" t="s">
        <v>1</v>
      </c>
      <c r="G1" s="6">
        <f>CheckTable!F$1</f>
        <v>0</v>
      </c>
      <c r="H1" s="1"/>
      <c r="I1" s="1"/>
      <c r="J1" s="1"/>
      <c r="K1" s="1"/>
      <c r="L1" s="1"/>
      <c r="M1" s="1"/>
      <c r="N1" s="1"/>
      <c r="O1" s="1"/>
      <c r="P1" s="1"/>
    </row>
    <row r="2" spans="1:1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s="9" customFormat="1" ht="63.75" customHeight="1" x14ac:dyDescent="0.25">
      <c r="A3" s="7" t="s">
        <v>2</v>
      </c>
      <c r="B3" s="7" t="s">
        <v>3</v>
      </c>
      <c r="C3" s="7" t="s">
        <v>4</v>
      </c>
      <c r="D3" s="7" t="s">
        <v>5</v>
      </c>
      <c r="E3" s="7" t="s">
        <v>6</v>
      </c>
      <c r="F3" s="7" t="s">
        <v>7</v>
      </c>
      <c r="G3" s="7" t="s">
        <v>8</v>
      </c>
      <c r="H3" s="7" t="s">
        <v>9</v>
      </c>
      <c r="I3" s="7" t="s">
        <v>10</v>
      </c>
      <c r="J3" s="7" t="s">
        <v>11</v>
      </c>
      <c r="K3" s="7" t="s">
        <v>12</v>
      </c>
      <c r="L3" s="7" t="s">
        <v>13</v>
      </c>
      <c r="M3" s="7" t="s">
        <v>14</v>
      </c>
      <c r="N3" s="7" t="s">
        <v>15</v>
      </c>
      <c r="O3" s="7" t="s">
        <v>16</v>
      </c>
      <c r="P3" s="8" t="s">
        <v>17</v>
      </c>
    </row>
    <row r="4" spans="1:16" ht="15" customHeight="1" x14ac:dyDescent="0.25">
      <c r="A4" s="34"/>
      <c r="B4" s="34"/>
      <c r="C4" s="34"/>
      <c r="D4" s="34"/>
      <c r="E4" s="34"/>
      <c r="F4" s="35"/>
      <c r="G4" s="34"/>
      <c r="H4" s="35"/>
      <c r="I4" s="34"/>
      <c r="J4" s="34"/>
      <c r="K4" s="34"/>
      <c r="L4" s="34"/>
      <c r="M4" s="34"/>
      <c r="N4" s="34"/>
      <c r="O4" s="34"/>
      <c r="P4" s="34"/>
    </row>
  </sheetData>
  <phoneticPr fontId="18" type="noConversion"/>
  <pageMargins left="0.79" right="0.79" top="0.98" bottom="0.98" header="0.47" footer="0.47"/>
  <pageSetup paperSize="8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C100"/>
  <sheetViews>
    <sheetView zoomScaleNormal="100" workbookViewId="0">
      <pane xSplit="1" topLeftCell="B1" activePane="topRight" state="frozen"/>
      <selection pane="topRight" activeCell="A108" sqref="A108"/>
    </sheetView>
  </sheetViews>
  <sheetFormatPr defaultColWidth="9.140625" defaultRowHeight="15" x14ac:dyDescent="0.25"/>
  <cols>
    <col min="1" max="1" width="40.5703125" style="15" customWidth="1"/>
    <col min="2" max="2" width="1.85546875" style="31" customWidth="1"/>
    <col min="3" max="3" width="11.140625" style="28" bestFit="1" customWidth="1"/>
    <col min="4" max="16384" width="9.140625" style="30"/>
  </cols>
  <sheetData>
    <row r="1" spans="1:3" s="40" customFormat="1" x14ac:dyDescent="0.25">
      <c r="A1" s="39"/>
      <c r="C1" s="37" t="s">
        <v>39</v>
      </c>
    </row>
    <row r="2" spans="1:3" s="40" customFormat="1" x14ac:dyDescent="0.25">
      <c r="A2" s="39"/>
      <c r="C2" s="37"/>
    </row>
    <row r="3" spans="1:3" s="28" customFormat="1" x14ac:dyDescent="0.25">
      <c r="A3" s="39"/>
      <c r="B3" s="40"/>
    </row>
    <row r="4" spans="1:3" s="28" customFormat="1" x14ac:dyDescent="0.25">
      <c r="A4" s="39"/>
      <c r="B4" s="40"/>
    </row>
    <row r="5" spans="1:3" s="27" customFormat="1" x14ac:dyDescent="0.25">
      <c r="A5" s="25"/>
      <c r="B5" s="26"/>
      <c r="C5" s="29"/>
    </row>
    <row r="6" spans="1:3" x14ac:dyDescent="0.25">
      <c r="A6" s="25"/>
      <c r="B6" s="26"/>
      <c r="C6" s="29"/>
    </row>
    <row r="7" spans="1:3" x14ac:dyDescent="0.25">
      <c r="A7" s="25"/>
      <c r="B7" s="26"/>
      <c r="C7" s="29"/>
    </row>
    <row r="8" spans="1:3" x14ac:dyDescent="0.25">
      <c r="A8" s="25"/>
      <c r="B8" s="26"/>
      <c r="C8" s="29"/>
    </row>
    <row r="9" spans="1:3" x14ac:dyDescent="0.25">
      <c r="A9" s="25"/>
      <c r="B9" s="26"/>
      <c r="C9" s="29"/>
    </row>
    <row r="10" spans="1:3" x14ac:dyDescent="0.25">
      <c r="A10" s="25"/>
      <c r="B10" s="26"/>
      <c r="C10" s="29"/>
    </row>
    <row r="11" spans="1:3" x14ac:dyDescent="0.25">
      <c r="A11" s="25"/>
      <c r="B11" s="26"/>
      <c r="C11" s="29"/>
    </row>
    <row r="12" spans="1:3" x14ac:dyDescent="0.25">
      <c r="A12" s="25"/>
      <c r="B12" s="26"/>
      <c r="C12" s="29"/>
    </row>
    <row r="13" spans="1:3" x14ac:dyDescent="0.25">
      <c r="A13" s="25"/>
      <c r="B13" s="26"/>
      <c r="C13" s="29"/>
    </row>
    <row r="14" spans="1:3" x14ac:dyDescent="0.25">
      <c r="A14" s="25"/>
      <c r="B14" s="26"/>
      <c r="C14" s="29"/>
    </row>
    <row r="15" spans="1:3" x14ac:dyDescent="0.25">
      <c r="A15" s="25"/>
      <c r="B15" s="26"/>
      <c r="C15" s="29"/>
    </row>
    <row r="16" spans="1:3" x14ac:dyDescent="0.25">
      <c r="A16" s="25"/>
      <c r="B16" s="26"/>
      <c r="C16" s="29"/>
    </row>
    <row r="17" spans="1:3" x14ac:dyDescent="0.25">
      <c r="A17" s="25"/>
      <c r="B17" s="26"/>
      <c r="C17" s="29"/>
    </row>
    <row r="18" spans="1:3" x14ac:dyDescent="0.25">
      <c r="A18" s="25"/>
      <c r="B18" s="26"/>
      <c r="C18" s="29"/>
    </row>
    <row r="19" spans="1:3" x14ac:dyDescent="0.25">
      <c r="A19" s="25"/>
      <c r="B19" s="26"/>
      <c r="C19" s="29"/>
    </row>
    <row r="20" spans="1:3" x14ac:dyDescent="0.25">
      <c r="A20" s="25"/>
      <c r="B20" s="26"/>
      <c r="C20" s="29"/>
    </row>
    <row r="21" spans="1:3" x14ac:dyDescent="0.25">
      <c r="A21" s="25"/>
      <c r="B21" s="26"/>
      <c r="C21" s="29"/>
    </row>
    <row r="22" spans="1:3" x14ac:dyDescent="0.25">
      <c r="A22" s="25"/>
      <c r="B22" s="26"/>
      <c r="C22" s="29"/>
    </row>
    <row r="23" spans="1:3" x14ac:dyDescent="0.25">
      <c r="A23" s="25"/>
      <c r="B23" s="26"/>
      <c r="C23" s="29"/>
    </row>
    <row r="24" spans="1:3" x14ac:dyDescent="0.25">
      <c r="A24" s="25"/>
      <c r="B24" s="26"/>
      <c r="C24" s="29"/>
    </row>
    <row r="25" spans="1:3" x14ac:dyDescent="0.25">
      <c r="A25" s="25"/>
      <c r="B25" s="26"/>
      <c r="C25" s="29"/>
    </row>
    <row r="26" spans="1:3" x14ac:dyDescent="0.25">
      <c r="A26" s="25"/>
      <c r="B26" s="26"/>
      <c r="C26" s="29"/>
    </row>
    <row r="27" spans="1:3" x14ac:dyDescent="0.25">
      <c r="A27" s="25"/>
      <c r="B27" s="26"/>
      <c r="C27" s="29"/>
    </row>
    <row r="28" spans="1:3" x14ac:dyDescent="0.25">
      <c r="A28" s="25"/>
      <c r="B28" s="26"/>
      <c r="C28" s="29"/>
    </row>
    <row r="29" spans="1:3" x14ac:dyDescent="0.25">
      <c r="A29" s="25"/>
      <c r="B29" s="26"/>
      <c r="C29" s="29"/>
    </row>
    <row r="30" spans="1:3" x14ac:dyDescent="0.25">
      <c r="A30" s="25"/>
      <c r="B30" s="26"/>
      <c r="C30" s="29"/>
    </row>
    <row r="31" spans="1:3" x14ac:dyDescent="0.25">
      <c r="A31" s="25"/>
      <c r="B31" s="26"/>
      <c r="C31" s="29"/>
    </row>
    <row r="32" spans="1:3" x14ac:dyDescent="0.25">
      <c r="A32" s="25"/>
      <c r="B32" s="26"/>
      <c r="C32" s="29"/>
    </row>
    <row r="33" spans="1:3" x14ac:dyDescent="0.25">
      <c r="A33" s="25"/>
      <c r="B33" s="26"/>
      <c r="C33" s="29"/>
    </row>
    <row r="34" spans="1:3" x14ac:dyDescent="0.25">
      <c r="A34" s="25"/>
      <c r="B34" s="26"/>
      <c r="C34" s="29"/>
    </row>
    <row r="35" spans="1:3" x14ac:dyDescent="0.25">
      <c r="A35" s="25"/>
      <c r="B35" s="26"/>
      <c r="C35" s="29"/>
    </row>
    <row r="36" spans="1:3" x14ac:dyDescent="0.25">
      <c r="A36" s="25"/>
      <c r="B36" s="26"/>
      <c r="C36" s="29"/>
    </row>
    <row r="37" spans="1:3" x14ac:dyDescent="0.25">
      <c r="A37" s="25"/>
      <c r="B37" s="26"/>
      <c r="C37" s="29"/>
    </row>
    <row r="38" spans="1:3" x14ac:dyDescent="0.25">
      <c r="A38" s="25"/>
      <c r="B38" s="26"/>
      <c r="C38" s="29"/>
    </row>
    <row r="39" spans="1:3" x14ac:dyDescent="0.25">
      <c r="A39" s="25"/>
      <c r="B39" s="26"/>
      <c r="C39" s="29"/>
    </row>
    <row r="40" spans="1:3" x14ac:dyDescent="0.25">
      <c r="A40" s="25"/>
      <c r="B40" s="26"/>
      <c r="C40" s="29"/>
    </row>
    <row r="41" spans="1:3" x14ac:dyDescent="0.25">
      <c r="A41" s="25"/>
      <c r="B41" s="26"/>
      <c r="C41" s="29"/>
    </row>
    <row r="42" spans="1:3" x14ac:dyDescent="0.25">
      <c r="A42" s="25"/>
      <c r="B42" s="26"/>
      <c r="C42" s="29"/>
    </row>
    <row r="43" spans="1:3" x14ac:dyDescent="0.25">
      <c r="A43" s="25"/>
      <c r="B43" s="26"/>
      <c r="C43" s="29"/>
    </row>
    <row r="44" spans="1:3" x14ac:dyDescent="0.25">
      <c r="A44" s="25"/>
      <c r="B44" s="26"/>
      <c r="C44" s="29"/>
    </row>
    <row r="45" spans="1:3" x14ac:dyDescent="0.25">
      <c r="A45" s="25"/>
      <c r="B45" s="26"/>
      <c r="C45" s="29"/>
    </row>
    <row r="46" spans="1:3" x14ac:dyDescent="0.25">
      <c r="A46" s="25"/>
      <c r="B46" s="26"/>
      <c r="C46" s="29"/>
    </row>
    <row r="47" spans="1:3" x14ac:dyDescent="0.25">
      <c r="A47" s="25"/>
      <c r="B47" s="26"/>
      <c r="C47" s="29"/>
    </row>
    <row r="48" spans="1:3" x14ac:dyDescent="0.25">
      <c r="A48" s="25"/>
      <c r="B48" s="26"/>
      <c r="C48" s="29"/>
    </row>
    <row r="49" spans="1:3" x14ac:dyDescent="0.25">
      <c r="A49" s="25"/>
      <c r="B49" s="26"/>
      <c r="C49" s="29"/>
    </row>
    <row r="50" spans="1:3" x14ac:dyDescent="0.25">
      <c r="A50" s="25"/>
      <c r="B50" s="26"/>
      <c r="C50" s="29"/>
    </row>
    <row r="51" spans="1:3" x14ac:dyDescent="0.25">
      <c r="A51" s="25"/>
      <c r="B51" s="26"/>
      <c r="C51" s="29"/>
    </row>
    <row r="52" spans="1:3" x14ac:dyDescent="0.25">
      <c r="A52" s="25"/>
      <c r="B52" s="26"/>
      <c r="C52" s="29"/>
    </row>
    <row r="53" spans="1:3" x14ac:dyDescent="0.25">
      <c r="A53" s="25"/>
      <c r="B53" s="26"/>
      <c r="C53" s="29"/>
    </row>
    <row r="54" spans="1:3" x14ac:dyDescent="0.25">
      <c r="A54" s="25"/>
      <c r="B54" s="26"/>
      <c r="C54" s="29"/>
    </row>
    <row r="55" spans="1:3" x14ac:dyDescent="0.25">
      <c r="A55" s="25"/>
      <c r="B55" s="26"/>
      <c r="C55" s="29"/>
    </row>
    <row r="56" spans="1:3" x14ac:dyDescent="0.25">
      <c r="A56" s="25"/>
      <c r="B56" s="26"/>
      <c r="C56" s="29"/>
    </row>
    <row r="57" spans="1:3" x14ac:dyDescent="0.25">
      <c r="A57" s="25"/>
      <c r="B57" s="26"/>
      <c r="C57" s="29"/>
    </row>
    <row r="58" spans="1:3" x14ac:dyDescent="0.25">
      <c r="A58" s="25"/>
      <c r="B58" s="26"/>
      <c r="C58" s="29"/>
    </row>
    <row r="59" spans="1:3" x14ac:dyDescent="0.25">
      <c r="A59" s="25"/>
      <c r="B59" s="26"/>
      <c r="C59" s="29"/>
    </row>
    <row r="60" spans="1:3" x14ac:dyDescent="0.25">
      <c r="A60" s="25"/>
      <c r="B60" s="26"/>
      <c r="C60" s="29"/>
    </row>
    <row r="61" spans="1:3" x14ac:dyDescent="0.25">
      <c r="A61" s="25"/>
      <c r="B61" s="26"/>
      <c r="C61" s="29"/>
    </row>
    <row r="62" spans="1:3" x14ac:dyDescent="0.25">
      <c r="A62" s="25"/>
      <c r="B62" s="26"/>
      <c r="C62" s="29"/>
    </row>
    <row r="63" spans="1:3" x14ac:dyDescent="0.25">
      <c r="A63" s="25"/>
      <c r="B63" s="26"/>
      <c r="C63" s="29"/>
    </row>
    <row r="64" spans="1:3" x14ac:dyDescent="0.25">
      <c r="A64" s="25"/>
      <c r="B64" s="26"/>
      <c r="C64" s="29"/>
    </row>
    <row r="65" spans="1:3" x14ac:dyDescent="0.25">
      <c r="A65" s="25"/>
      <c r="B65" s="26"/>
      <c r="C65" s="29"/>
    </row>
    <row r="66" spans="1:3" x14ac:dyDescent="0.25">
      <c r="A66" s="25"/>
      <c r="B66" s="26"/>
      <c r="C66" s="29"/>
    </row>
    <row r="67" spans="1:3" x14ac:dyDescent="0.25">
      <c r="A67" s="25"/>
      <c r="B67" s="26"/>
      <c r="C67" s="29"/>
    </row>
    <row r="68" spans="1:3" x14ac:dyDescent="0.25">
      <c r="A68" s="25"/>
      <c r="B68" s="26"/>
      <c r="C68" s="29"/>
    </row>
    <row r="69" spans="1:3" x14ac:dyDescent="0.25">
      <c r="A69" s="25"/>
      <c r="B69" s="26"/>
      <c r="C69" s="29"/>
    </row>
    <row r="70" spans="1:3" x14ac:dyDescent="0.25">
      <c r="A70" s="25"/>
      <c r="B70" s="26"/>
      <c r="C70" s="29"/>
    </row>
    <row r="71" spans="1:3" x14ac:dyDescent="0.25">
      <c r="A71" s="25"/>
      <c r="B71" s="26"/>
      <c r="C71" s="29"/>
    </row>
    <row r="72" spans="1:3" x14ac:dyDescent="0.25">
      <c r="A72" s="25"/>
      <c r="B72" s="26"/>
      <c r="C72" s="29"/>
    </row>
    <row r="73" spans="1:3" x14ac:dyDescent="0.25">
      <c r="A73" s="25"/>
      <c r="B73" s="26"/>
      <c r="C73" s="29"/>
    </row>
    <row r="74" spans="1:3" x14ac:dyDescent="0.25">
      <c r="A74" s="25"/>
      <c r="B74" s="26"/>
      <c r="C74" s="29"/>
    </row>
    <row r="75" spans="1:3" x14ac:dyDescent="0.25">
      <c r="A75" s="25"/>
      <c r="B75" s="26"/>
      <c r="C75" s="29"/>
    </row>
    <row r="76" spans="1:3" x14ac:dyDescent="0.25">
      <c r="A76" s="25"/>
      <c r="B76" s="26"/>
      <c r="C76" s="29"/>
    </row>
    <row r="77" spans="1:3" x14ac:dyDescent="0.25">
      <c r="A77" s="25"/>
      <c r="B77" s="26"/>
      <c r="C77" s="29"/>
    </row>
    <row r="78" spans="1:3" x14ac:dyDescent="0.25">
      <c r="A78" s="25"/>
      <c r="B78" s="26"/>
      <c r="C78" s="29"/>
    </row>
    <row r="79" spans="1:3" x14ac:dyDescent="0.25">
      <c r="A79" s="25"/>
      <c r="B79" s="26"/>
      <c r="C79" s="29"/>
    </row>
    <row r="80" spans="1:3" x14ac:dyDescent="0.25">
      <c r="A80" s="25"/>
      <c r="B80" s="26"/>
      <c r="C80" s="29"/>
    </row>
    <row r="81" spans="1:3" x14ac:dyDescent="0.25">
      <c r="A81" s="25"/>
      <c r="B81" s="26"/>
      <c r="C81" s="29"/>
    </row>
    <row r="82" spans="1:3" x14ac:dyDescent="0.25">
      <c r="A82" s="25"/>
      <c r="B82" s="26"/>
      <c r="C82" s="29"/>
    </row>
    <row r="83" spans="1:3" x14ac:dyDescent="0.25">
      <c r="A83" s="25"/>
      <c r="B83" s="26"/>
      <c r="C83" s="29"/>
    </row>
    <row r="84" spans="1:3" x14ac:dyDescent="0.25">
      <c r="A84" s="25"/>
      <c r="B84" s="26"/>
      <c r="C84" s="29"/>
    </row>
    <row r="85" spans="1:3" x14ac:dyDescent="0.25">
      <c r="A85" s="25"/>
      <c r="B85" s="26"/>
      <c r="C85" s="29"/>
    </row>
    <row r="86" spans="1:3" x14ac:dyDescent="0.25">
      <c r="A86" s="25"/>
      <c r="B86" s="26"/>
      <c r="C86" s="29"/>
    </row>
    <row r="87" spans="1:3" x14ac:dyDescent="0.25">
      <c r="A87" s="25"/>
      <c r="B87" s="26"/>
      <c r="C87" s="29"/>
    </row>
    <row r="88" spans="1:3" x14ac:dyDescent="0.25">
      <c r="A88" s="25"/>
      <c r="B88" s="26"/>
      <c r="C88" s="29"/>
    </row>
    <row r="89" spans="1:3" x14ac:dyDescent="0.25">
      <c r="A89" s="25"/>
      <c r="B89" s="26"/>
      <c r="C89" s="29"/>
    </row>
    <row r="90" spans="1:3" x14ac:dyDescent="0.25">
      <c r="A90" s="25"/>
      <c r="B90" s="26"/>
      <c r="C90" s="29"/>
    </row>
    <row r="91" spans="1:3" x14ac:dyDescent="0.25">
      <c r="A91" s="25"/>
      <c r="B91" s="26"/>
      <c r="C91" s="29"/>
    </row>
    <row r="92" spans="1:3" x14ac:dyDescent="0.25">
      <c r="A92" s="25"/>
      <c r="B92" s="26"/>
      <c r="C92" s="29"/>
    </row>
    <row r="93" spans="1:3" x14ac:dyDescent="0.25">
      <c r="A93" s="25"/>
      <c r="B93" s="26"/>
      <c r="C93" s="29"/>
    </row>
    <row r="94" spans="1:3" x14ac:dyDescent="0.25">
      <c r="A94" s="25"/>
      <c r="B94" s="26"/>
      <c r="C94" s="29"/>
    </row>
    <row r="95" spans="1:3" x14ac:dyDescent="0.25">
      <c r="A95" s="25"/>
      <c r="B95" s="26"/>
      <c r="C95" s="29"/>
    </row>
    <row r="96" spans="1:3" x14ac:dyDescent="0.25">
      <c r="A96" s="25"/>
      <c r="B96" s="26"/>
      <c r="C96" s="29"/>
    </row>
    <row r="97" spans="1:3" x14ac:dyDescent="0.25">
      <c r="A97" s="25"/>
      <c r="B97" s="26"/>
      <c r="C97" s="29"/>
    </row>
    <row r="98" spans="1:3" x14ac:dyDescent="0.25">
      <c r="A98" s="25"/>
      <c r="B98" s="26"/>
      <c r="C98" s="29"/>
    </row>
    <row r="99" spans="1:3" x14ac:dyDescent="0.25">
      <c r="A99" s="25"/>
      <c r="B99" s="26"/>
      <c r="C99" s="29"/>
    </row>
    <row r="100" spans="1:3" x14ac:dyDescent="0.25">
      <c r="A100" s="25"/>
      <c r="B100" s="26"/>
      <c r="C100" s="29"/>
    </row>
  </sheetData>
  <sheetProtection formatCells="0" formatColumns="0" formatRows="0" insertColumns="0" insertRows="0" insertHyperlinks="0" deleteColumns="0" deleteRows="0" selectLockedCells="1" sort="0" autoFilter="0" pivotTables="0"/>
  <dataConsolidate/>
  <phoneticPr fontId="18" type="noConversion"/>
  <conditionalFormatting sqref="C4">
    <cfRule type="expression" dxfId="0" priority="3">
      <formula>C$4="SUCCESFULLY EXPORTED"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S75"/>
  <sheetViews>
    <sheetView zoomScale="85" zoomScaleNormal="85" workbookViewId="0">
      <selection activeCell="A5" sqref="A5"/>
    </sheetView>
  </sheetViews>
  <sheetFormatPr defaultColWidth="9.140625" defaultRowHeight="15" x14ac:dyDescent="0.25"/>
  <cols>
    <col min="1" max="1" width="20.140625" style="10" bestFit="1" customWidth="1"/>
    <col min="2" max="2" width="25.28515625" style="10" bestFit="1" customWidth="1"/>
    <col min="3" max="3" width="50.5703125" style="10" bestFit="1" customWidth="1"/>
    <col min="4" max="4" width="24.140625" style="10" bestFit="1" customWidth="1"/>
    <col min="5" max="5" width="24.28515625" style="10" bestFit="1" customWidth="1"/>
    <col min="6" max="6" width="18.42578125" style="10" bestFit="1" customWidth="1"/>
    <col min="7" max="7" width="24.28515625" style="10" bestFit="1" customWidth="1"/>
    <col min="8" max="8" width="29.28515625" style="10" bestFit="1" customWidth="1"/>
    <col min="9" max="9" width="24.28515625" style="10" bestFit="1" customWidth="1"/>
    <col min="10" max="10" width="43.5703125" style="10" bestFit="1" customWidth="1"/>
    <col min="11" max="11" width="24.28515625" style="10" bestFit="1" customWidth="1"/>
    <col min="12" max="12" width="27.5703125" style="10" bestFit="1" customWidth="1"/>
    <col min="13" max="13" width="24.28515625" style="10" bestFit="1" customWidth="1"/>
    <col min="14" max="14" width="26.5703125" style="10" bestFit="1" customWidth="1"/>
    <col min="15" max="15" width="24.28515625" style="10" bestFit="1" customWidth="1"/>
    <col min="16" max="16" width="43.28515625" style="10" hidden="1" customWidth="1"/>
    <col min="17" max="17" width="50.140625" style="10" hidden="1" customWidth="1"/>
    <col min="18" max="18" width="26.42578125" style="10" bestFit="1" customWidth="1"/>
    <col min="19" max="19" width="24.28515625" style="10" bestFit="1" customWidth="1"/>
    <col min="20" max="20" width="55.42578125" style="10" bestFit="1" customWidth="1"/>
    <col min="21" max="21" width="47.5703125" style="10" bestFit="1" customWidth="1"/>
    <col min="22" max="22" width="18.42578125" style="10" bestFit="1" customWidth="1"/>
    <col min="23" max="16384" width="9.140625" style="10"/>
  </cols>
  <sheetData>
    <row r="1" spans="1:19" s="12" customFormat="1" ht="18" customHeight="1" thickBot="1" x14ac:dyDescent="0.3">
      <c r="A1" s="14">
        <v>31</v>
      </c>
      <c r="C1" s="18" t="s">
        <v>0</v>
      </c>
      <c r="D1" s="19">
        <v>0</v>
      </c>
      <c r="E1" s="20" t="s">
        <v>1</v>
      </c>
      <c r="F1" s="19">
        <v>0</v>
      </c>
      <c r="G1" s="17"/>
    </row>
    <row r="2" spans="1:19" ht="45.75" customHeight="1" thickBot="1" x14ac:dyDescent="0.3">
      <c r="A2" s="43" t="s">
        <v>18</v>
      </c>
      <c r="B2" s="45"/>
      <c r="C2" s="44"/>
      <c r="D2" s="43" t="s">
        <v>19</v>
      </c>
      <c r="E2" s="44"/>
      <c r="F2" s="43" t="s">
        <v>20</v>
      </c>
      <c r="G2" s="45"/>
      <c r="H2" s="43" t="s">
        <v>21</v>
      </c>
      <c r="I2" s="44"/>
      <c r="J2" s="43" t="s">
        <v>22</v>
      </c>
      <c r="K2" s="44"/>
      <c r="L2" s="45" t="s">
        <v>23</v>
      </c>
      <c r="M2" s="45"/>
      <c r="N2" s="43" t="s">
        <v>24</v>
      </c>
      <c r="O2" s="44"/>
      <c r="P2" s="45" t="s">
        <v>25</v>
      </c>
      <c r="Q2" s="45"/>
      <c r="R2" s="43" t="s">
        <v>26</v>
      </c>
      <c r="S2" s="44"/>
    </row>
    <row r="3" spans="1:19" s="11" customFormat="1" ht="38.25" thickBot="1" x14ac:dyDescent="0.3">
      <c r="A3" s="21" t="s">
        <v>16</v>
      </c>
      <c r="B3" s="22" t="s">
        <v>27</v>
      </c>
      <c r="C3" s="24" t="s">
        <v>28</v>
      </c>
      <c r="D3" s="21" t="s">
        <v>8</v>
      </c>
      <c r="E3" s="24" t="s">
        <v>29</v>
      </c>
      <c r="F3" s="23" t="s">
        <v>7</v>
      </c>
      <c r="G3" s="24" t="s">
        <v>30</v>
      </c>
      <c r="H3" s="21" t="s">
        <v>9</v>
      </c>
      <c r="I3" s="24" t="s">
        <v>31</v>
      </c>
      <c r="J3" s="21" t="s">
        <v>32</v>
      </c>
      <c r="K3" s="24" t="s">
        <v>33</v>
      </c>
      <c r="L3" s="23" t="s">
        <v>10</v>
      </c>
      <c r="M3" s="24" t="s">
        <v>34</v>
      </c>
      <c r="N3" s="21" t="s">
        <v>11</v>
      </c>
      <c r="O3" s="24" t="s">
        <v>35</v>
      </c>
      <c r="P3" s="23" t="s">
        <v>15</v>
      </c>
      <c r="Q3" s="24" t="s">
        <v>36</v>
      </c>
      <c r="R3" s="21" t="s">
        <v>17</v>
      </c>
      <c r="S3" s="24" t="s">
        <v>37</v>
      </c>
    </row>
    <row r="4" spans="1:19" s="38" customFormat="1" x14ac:dyDescent="0.25">
      <c r="A4" s="33"/>
      <c r="B4" s="41" t="str">
        <f>IFERROR(MATCH(GetTable[[#This Row],[Acrobat file]],GetFileNames[],0),"0")</f>
        <v>0</v>
      </c>
      <c r="C4" s="46" t="str" cm="1">
        <f t="array" ref="C4">getDocumentName(A4,B4)</f>
        <v>wrong drawing number format!</v>
      </c>
      <c r="D4" s="33"/>
      <c r="E4" s="46" t="str">
        <f>getDocumentTitle(D4,B4)</f>
        <v>FAIL</v>
      </c>
      <c r="F4" s="36"/>
      <c r="G4" s="46" t="str" cm="1">
        <f t="array" ref="G4">getDocumentRevision(F4,B4)</f>
        <v>NOT FOUND!</v>
      </c>
      <c r="H4" s="32"/>
      <c r="I4" s="46" t="str" cm="1">
        <f t="array" ref="I4">getDocumentRevisionDate(H4,B4)</f>
        <v>NOT FOUND!</v>
      </c>
      <c r="J4" s="32" t="s">
        <v>38</v>
      </c>
      <c r="K4" s="41" t="str" cm="1">
        <f t="array" ref="K4">getDocumentRevisionDescription(J4,I4,B4)</f>
        <v>NOT FOUND!</v>
      </c>
      <c r="L4" s="32"/>
      <c r="M4" s="41" t="str" cm="1">
        <f t="array" ref="M4">getDocumentFormat(B4)</f>
        <v>NOT FOUND!</v>
      </c>
      <c r="N4" s="32"/>
      <c r="O4" s="41" t="str" cm="1">
        <f t="array" ref="O4">getDocumentSheetsQuantity(B4)</f>
        <v>NOT FOUND!</v>
      </c>
      <c r="P4" s="32"/>
      <c r="Q4" s="47"/>
      <c r="R4" s="13"/>
      <c r="S4" s="42" t="e" cm="1">
        <f t="array" ref="S4">getDocumentDPNumber(R4,B4)</f>
        <v>#VALUE!</v>
      </c>
    </row>
    <row r="5" spans="1:19" s="38" customFormat="1" x14ac:dyDescent="0.25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</row>
    <row r="6" spans="1:19" s="38" customFormat="1" x14ac:dyDescent="0.25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</row>
    <row r="7" spans="1:19" s="38" customFormat="1" x14ac:dyDescent="0.25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</row>
    <row r="8" spans="1:19" s="38" customFormat="1" x14ac:dyDescent="0.25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</row>
    <row r="9" spans="1:19" s="38" customFormat="1" x14ac:dyDescent="0.25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</row>
    <row r="10" spans="1:19" s="38" customFormat="1" x14ac:dyDescent="0.25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</row>
    <row r="11" spans="1:19" s="38" customFormat="1" x14ac:dyDescent="0.25">
      <c r="A11" s="10"/>
      <c r="B11" s="10"/>
      <c r="C11" s="10"/>
      <c r="D11" s="10"/>
      <c r="E11" s="15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1:19" s="38" customFormat="1" x14ac:dyDescent="0.25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</row>
    <row r="13" spans="1:19" s="38" customFormat="1" x14ac:dyDescent="0.25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</row>
    <row r="14" spans="1:19" s="38" customFormat="1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</row>
    <row r="15" spans="1:19" s="38" customFormat="1" x14ac:dyDescent="0.2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</row>
    <row r="16" spans="1:19" s="38" customFormat="1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</row>
    <row r="17" spans="1:19" s="38" customFormat="1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</row>
    <row r="18" spans="1:19" s="38" customFormat="1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</row>
    <row r="19" spans="1:19" s="38" customFormat="1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</row>
    <row r="20" spans="1:19" s="38" customFormat="1" x14ac:dyDescent="0.2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</row>
    <row r="21" spans="1:19" s="38" customFormat="1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</row>
    <row r="22" spans="1:19" s="38" customFormat="1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</row>
    <row r="23" spans="1:19" s="38" customFormat="1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</row>
    <row r="24" spans="1:19" s="38" customFormat="1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25" spans="1:19" s="38" customFormat="1" x14ac:dyDescent="0.2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</row>
    <row r="26" spans="1:19" s="38" customFormat="1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</row>
    <row r="27" spans="1:19" s="38" customFormat="1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</row>
    <row r="28" spans="1:19" s="38" customFormat="1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</row>
    <row r="29" spans="1:19" s="38" customFormat="1" x14ac:dyDescent="0.2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</row>
    <row r="30" spans="1:19" s="38" customFormat="1" x14ac:dyDescent="0.25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</row>
    <row r="31" spans="1:19" s="38" customFormat="1" x14ac:dyDescent="0.25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</row>
    <row r="32" spans="1:19" s="38" customFormat="1" x14ac:dyDescent="0.25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</row>
    <row r="33" spans="1:19" s="38" customFormat="1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</row>
    <row r="34" spans="1:19" s="38" customFormat="1" x14ac:dyDescent="0.25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</row>
    <row r="35" spans="1:19" s="38" customFormat="1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</row>
    <row r="36" spans="1:19" s="38" customFormat="1" x14ac:dyDescent="0.25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</row>
    <row r="37" spans="1:19" s="38" customFormat="1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</row>
    <row r="38" spans="1:19" s="38" customFormat="1" x14ac:dyDescent="0.2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</row>
    <row r="39" spans="1:19" s="38" customFormat="1" x14ac:dyDescent="0.25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</row>
    <row r="40" spans="1:19" s="38" customFormat="1" x14ac:dyDescent="0.25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</row>
    <row r="41" spans="1:19" s="38" customFormat="1" x14ac:dyDescent="0.25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1:19" s="38" customFormat="1" x14ac:dyDescent="0.2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</row>
    <row r="43" spans="1:19" s="38" customFormat="1" x14ac:dyDescent="0.25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</row>
    <row r="44" spans="1:19" s="38" customFormat="1" x14ac:dyDescent="0.25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</row>
    <row r="45" spans="1:19" s="38" customFormat="1" x14ac:dyDescent="0.25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</row>
    <row r="46" spans="1:19" s="38" customFormat="1" x14ac:dyDescent="0.25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</row>
    <row r="47" spans="1:19" s="38" customFormat="1" x14ac:dyDescent="0.25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</row>
    <row r="48" spans="1:19" s="38" customFormat="1" x14ac:dyDescent="0.25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</row>
    <row r="49" spans="1:19" s="38" customFormat="1" x14ac:dyDescent="0.25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</row>
    <row r="50" spans="1:19" s="38" customFormat="1" x14ac:dyDescent="0.25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</row>
    <row r="51" spans="1:19" s="38" customFormat="1" x14ac:dyDescent="0.25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</row>
    <row r="52" spans="1:19" s="38" customFormat="1" x14ac:dyDescent="0.25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</row>
    <row r="53" spans="1:19" s="38" customFormat="1" x14ac:dyDescent="0.25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</row>
    <row r="54" spans="1:19" s="38" customFormat="1" x14ac:dyDescent="0.25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</row>
    <row r="55" spans="1:19" s="38" customFormat="1" x14ac:dyDescent="0.25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</row>
    <row r="56" spans="1:19" s="38" customFormat="1" x14ac:dyDescent="0.25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</row>
    <row r="57" spans="1:19" s="38" customFormat="1" x14ac:dyDescent="0.25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</row>
    <row r="58" spans="1:19" s="38" customFormat="1" x14ac:dyDescent="0.25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1:19" s="38" customFormat="1" x14ac:dyDescent="0.25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</row>
    <row r="60" spans="1:19" s="38" customFormat="1" x14ac:dyDescent="0.25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</row>
    <row r="61" spans="1:19" s="38" customFormat="1" x14ac:dyDescent="0.25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</row>
    <row r="62" spans="1:19" s="38" customFormat="1" x14ac:dyDescent="0.25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</row>
    <row r="63" spans="1:19" s="38" customFormat="1" x14ac:dyDescent="0.25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</row>
    <row r="64" spans="1:19" s="38" customFormat="1" x14ac:dyDescent="0.25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</row>
    <row r="65" spans="1:19" s="38" customFormat="1" x14ac:dyDescent="0.25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</row>
    <row r="66" spans="1:19" s="38" customFormat="1" x14ac:dyDescent="0.25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</row>
    <row r="67" spans="1:19" s="38" customFormat="1" x14ac:dyDescent="0.25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</row>
    <row r="68" spans="1:19" s="38" customFormat="1" x14ac:dyDescent="0.25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</row>
    <row r="69" spans="1:19" s="38" customFormat="1" x14ac:dyDescent="0.25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</row>
    <row r="70" spans="1:19" s="38" customFormat="1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</row>
    <row r="71" spans="1:19" s="38" customFormat="1" x14ac:dyDescent="0.25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</row>
    <row r="72" spans="1:19" s="38" customFormat="1" x14ac:dyDescent="0.25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</row>
    <row r="73" spans="1:19" s="38" customFormat="1" x14ac:dyDescent="0.25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</row>
    <row r="74" spans="1:19" s="38" customFormat="1" x14ac:dyDescent="0.25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</row>
    <row r="75" spans="1:19" s="38" customFormat="1" x14ac:dyDescent="0.25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</row>
  </sheetData>
  <mergeCells count="9">
    <mergeCell ref="N2:O2"/>
    <mergeCell ref="P2:Q2"/>
    <mergeCell ref="R2:S2"/>
    <mergeCell ref="J2:K2"/>
    <mergeCell ref="A2:C2"/>
    <mergeCell ref="D2:E2"/>
    <mergeCell ref="F2:G2"/>
    <mergeCell ref="H2:I2"/>
    <mergeCell ref="L2:M2"/>
  </mergeCells>
  <phoneticPr fontId="18" type="noConversion"/>
  <conditionalFormatting sqref="G1">
    <cfRule type="dataBar" priority="3">
      <dataBar>
        <cfvo type="num" val="0"/>
        <cfvo type="num" val="$A$1"/>
        <color rgb="FFF48F66"/>
      </dataBar>
      <extLst>
        <ext xmlns:x14="http://schemas.microsoft.com/office/spreadsheetml/2009/9/main" uri="{B025F937-C7B1-47D3-B67F-A62EFF666E3E}">
          <x14:id>{B590A880-D667-46D1-A913-BC67887C2B53}</x14:id>
        </ext>
      </extLst>
    </cfRule>
  </conditionalFormatting>
  <conditionalFormatting sqref="D1">
    <cfRule type="dataBar" priority="2">
      <dataBar>
        <cfvo type="num" val="0"/>
        <cfvo type="num" val="$A$1"/>
        <color rgb="FFB0F868"/>
      </dataBar>
      <extLst>
        <ext xmlns:x14="http://schemas.microsoft.com/office/spreadsheetml/2009/9/main" uri="{B025F937-C7B1-47D3-B67F-A62EFF666E3E}">
          <x14:id>{B3FA6144-7D84-459B-9E0B-1E99773E5466}</x14:id>
        </ext>
      </extLst>
    </cfRule>
  </conditionalFormatting>
  <conditionalFormatting sqref="F1">
    <cfRule type="dataBar" priority="1">
      <dataBar>
        <cfvo type="num" val="0"/>
        <cfvo type="num" val="$A$1"/>
        <color rgb="FFF48F66"/>
      </dataBar>
      <extLst>
        <ext xmlns:x14="http://schemas.microsoft.com/office/spreadsheetml/2009/9/main" uri="{B025F937-C7B1-47D3-B67F-A62EFF666E3E}">
          <x14:id>{F80FA50C-9BCE-4981-8F5D-7A3C2C6854C1}</x14:id>
        </ext>
      </extLst>
    </cfRule>
  </conditionalFormatting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590A880-D667-46D1-A913-BC67887C2B53}">
            <x14:dataBar minLength="0" maxLength="100" gradient="0">
              <x14:cfvo type="num">
                <xm:f>0</xm:f>
              </x14:cfvo>
              <x14:cfvo type="num">
                <xm:f>$A$1</xm:f>
              </x14:cfvo>
              <x14:negativeFillColor rgb="FFFF0000"/>
              <x14:axisColor rgb="FF000000"/>
            </x14:dataBar>
          </x14:cfRule>
          <xm:sqref>G1</xm:sqref>
        </x14:conditionalFormatting>
        <x14:conditionalFormatting xmlns:xm="http://schemas.microsoft.com/office/excel/2006/main">
          <x14:cfRule type="dataBar" id="{B3FA6144-7D84-459B-9E0B-1E99773E5466}">
            <x14:dataBar minLength="0" maxLength="100" gradient="0">
              <x14:cfvo type="num">
                <xm:f>0</xm:f>
              </x14:cfvo>
              <x14:cfvo type="num">
                <xm:f>$A$1</xm:f>
              </x14:cfvo>
              <x14:negativeFillColor rgb="FFFF0000"/>
              <x14:axisColor rgb="FF000000"/>
            </x14:dataBar>
          </x14:cfRule>
          <xm:sqref>D1</xm:sqref>
        </x14:conditionalFormatting>
        <x14:conditionalFormatting xmlns:xm="http://schemas.microsoft.com/office/excel/2006/main">
          <x14:cfRule type="dataBar" id="{F80FA50C-9BCE-4981-8F5D-7A3C2C6854C1}">
            <x14:dataBar minLength="0" maxLength="100" gradient="0">
              <x14:cfvo type="num">
                <xm:f>0</xm:f>
              </x14:cfvo>
              <x14:cfvo type="num">
                <xm:f>$A$1</xm:f>
              </x14:cfvo>
              <x14:negativeFillColor rgb="FFFF0000"/>
              <x14:axisColor rgb="FF000000"/>
            </x14:dataBar>
          </x14:cfRule>
          <xm:sqref>F1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BDA8166B378F3499C4B098ABB3CF630" ma:contentTypeVersion="2" ma:contentTypeDescription="Create a new document." ma:contentTypeScope="" ma:versionID="89cd125771a199a895e43e9c4856c66b">
  <xsd:schema xmlns:xsd="http://www.w3.org/2001/XMLSchema" xmlns:xs="http://www.w3.org/2001/XMLSchema" xmlns:p="http://schemas.microsoft.com/office/2006/metadata/properties" xmlns:ns2="31d397da-b7df-4110-ab96-ab60b7f606b3" targetNamespace="http://schemas.microsoft.com/office/2006/metadata/properties" ma:root="true" ma:fieldsID="ad4d2e1fcb3c538052bc00d4a974a151" ns2:_="">
    <xsd:import namespace="31d397da-b7df-4110-ab96-ab60b7f606b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d397da-b7df-4110-ab96-ab60b7f606b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3EDC031A-9F2D-4991-9B6D-167F6A0AD6C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EBC19B3-8E94-439F-AF9E-6CFB2794B8CD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662D59D7-FC30-49D3-8B13-A432376A7D2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1d397da-b7df-4110-ab96-ab60b7f606b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CB20B191-9C19-46B1-BC20-DCBB9642EE5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AWP1A-VLS-KMD</vt:lpstr>
      <vt:lpstr>PDFContent_sheet</vt:lpstr>
      <vt:lpstr>CheckTable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Sergey Glazkov-NAC</dc:creator>
  <cp:keywords/>
  <dc:description/>
  <cp:lastModifiedBy>Sergey Glazkov-NAC</cp:lastModifiedBy>
  <cp:revision/>
  <dcterms:created xsi:type="dcterms:W3CDTF">2021-08-02T17:30:16Z</dcterms:created>
  <dcterms:modified xsi:type="dcterms:W3CDTF">2021-09-29T10:30:16Z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b48b937-0ae3-46f5-b32e-f3232b5be847_Enabled">
    <vt:lpwstr>True</vt:lpwstr>
  </property>
  <property fmtid="{D5CDD505-2E9C-101B-9397-08002B2CF9AE}" pid="3" name="MSIP_Label_3b48b937-0ae3-46f5-b32e-f3232b5be847_SiteId">
    <vt:lpwstr>9179d01a-e94c-4488-b5f0-4554bc474f8c</vt:lpwstr>
  </property>
  <property fmtid="{D5CDD505-2E9C-101B-9397-08002B2CF9AE}" pid="4" name="MSIP_Label_3b48b937-0ae3-46f5-b32e-f3232b5be847_Owner">
    <vt:lpwstr>maria.gusinkina-nac@naclng.com</vt:lpwstr>
  </property>
  <property fmtid="{D5CDD505-2E9C-101B-9397-08002B2CF9AE}" pid="5" name="MSIP_Label_3b48b937-0ae3-46f5-b32e-f3232b5be847_SetDate">
    <vt:lpwstr>2021-09-01T15:24:37.3521750Z</vt:lpwstr>
  </property>
  <property fmtid="{D5CDD505-2E9C-101B-9397-08002B2CF9AE}" pid="6" name="MSIP_Label_3b48b937-0ae3-46f5-b32e-f3232b5be847_Name">
    <vt:lpwstr>General</vt:lpwstr>
  </property>
  <property fmtid="{D5CDD505-2E9C-101B-9397-08002B2CF9AE}" pid="7" name="MSIP_Label_3b48b937-0ae3-46f5-b32e-f3232b5be847_Application">
    <vt:lpwstr>Microsoft Azure Information Protection</vt:lpwstr>
  </property>
  <property fmtid="{D5CDD505-2E9C-101B-9397-08002B2CF9AE}" pid="8" name="MSIP_Label_3b48b937-0ae3-46f5-b32e-f3232b5be847_ActionId">
    <vt:lpwstr>a0272811-6ff2-400f-87fb-a2fa7caea962</vt:lpwstr>
  </property>
  <property fmtid="{D5CDD505-2E9C-101B-9397-08002B2CF9AE}" pid="9" name="MSIP_Label_3b48b937-0ae3-46f5-b32e-f3232b5be847_Extended_MSFT_Method">
    <vt:lpwstr>Automatic</vt:lpwstr>
  </property>
  <property fmtid="{D5CDD505-2E9C-101B-9397-08002B2CF9AE}" pid="10" name="MSIP_Label_b29603fb-7fab-4bf6-8ed3-004985bb9d91_Enabled">
    <vt:lpwstr>True</vt:lpwstr>
  </property>
  <property fmtid="{D5CDD505-2E9C-101B-9397-08002B2CF9AE}" pid="11" name="MSIP_Label_b29603fb-7fab-4bf6-8ed3-004985bb9d91_SiteId">
    <vt:lpwstr>9179d01a-e94c-4488-b5f0-4554bc474f8c</vt:lpwstr>
  </property>
  <property fmtid="{D5CDD505-2E9C-101B-9397-08002B2CF9AE}" pid="12" name="MSIP_Label_b29603fb-7fab-4bf6-8ed3-004985bb9d91_Owner">
    <vt:lpwstr>maria.gusinkina-nac@naclng.com</vt:lpwstr>
  </property>
  <property fmtid="{D5CDD505-2E9C-101B-9397-08002B2CF9AE}" pid="13" name="MSIP_Label_b29603fb-7fab-4bf6-8ed3-004985bb9d91_SetDate">
    <vt:lpwstr>2021-09-01T15:24:37.3521750Z</vt:lpwstr>
  </property>
  <property fmtid="{D5CDD505-2E9C-101B-9397-08002B2CF9AE}" pid="14" name="MSIP_Label_b29603fb-7fab-4bf6-8ed3-004985bb9d91_Name">
    <vt:lpwstr>Anyone - No Protection</vt:lpwstr>
  </property>
  <property fmtid="{D5CDD505-2E9C-101B-9397-08002B2CF9AE}" pid="15" name="MSIP_Label_b29603fb-7fab-4bf6-8ed3-004985bb9d91_Application">
    <vt:lpwstr>Microsoft Azure Information Protection</vt:lpwstr>
  </property>
  <property fmtid="{D5CDD505-2E9C-101B-9397-08002B2CF9AE}" pid="16" name="MSIP_Label_b29603fb-7fab-4bf6-8ed3-004985bb9d91_ActionId">
    <vt:lpwstr>a0272811-6ff2-400f-87fb-a2fa7caea962</vt:lpwstr>
  </property>
  <property fmtid="{D5CDD505-2E9C-101B-9397-08002B2CF9AE}" pid="17" name="MSIP_Label_b29603fb-7fab-4bf6-8ed3-004985bb9d91_Parent">
    <vt:lpwstr>3b48b937-0ae3-46f5-b32e-f3232b5be847</vt:lpwstr>
  </property>
  <property fmtid="{D5CDD505-2E9C-101B-9397-08002B2CF9AE}" pid="18" name="MSIP_Label_b29603fb-7fab-4bf6-8ed3-004985bb9d91_Extended_MSFT_Method">
    <vt:lpwstr>Automatic</vt:lpwstr>
  </property>
  <property fmtid="{D5CDD505-2E9C-101B-9397-08002B2CF9AE}" pid="19" name="Sensitivity">
    <vt:lpwstr>General Anyone - No Protection</vt:lpwstr>
  </property>
  <property fmtid="{D5CDD505-2E9C-101B-9397-08002B2CF9AE}" pid="20" name="ContentTypeId">
    <vt:lpwstr>0x010100BBDA8166B378F3499C4B098ABB3CF630</vt:lpwstr>
  </property>
</Properties>
</file>