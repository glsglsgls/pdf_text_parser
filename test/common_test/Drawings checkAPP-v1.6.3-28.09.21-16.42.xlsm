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glazkov\Documents\pythonProject\pdfReader\test\common_test\"/>
    </mc:Choice>
  </mc:AlternateContent>
  <xr:revisionPtr revIDLastSave="0" documentId="13_ncr:1_{9DC38F21-9447-4411-A984-E6D2B9E72181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AWP1A-VLS-KMD" sheetId="1" r:id="rId1"/>
    <sheet name="PDFContent_sheet" sheetId="4" r:id="rId2"/>
    <sheet name="CheckTable" sheetId="5" r:id="rId3"/>
  </sheets>
  <functionGroups builtInGroupCount="19"/>
  <externalReferences>
    <externalReference r:id="rId4"/>
  </externalReferences>
  <definedNames>
    <definedName name="_xlnm._FilterDatabase" localSheetId="0" hidden="1">'AWP1A-VLS-KMD'!$A$3:$P$31</definedName>
    <definedName name="ExternalData_1" localSheetId="1" hidden="1">PDFContent_sheet!$C$1:$AD$2</definedName>
    <definedName name="ExternalData_2" localSheetId="2" hidden="1">CheckTable!$A$3:$R$31</definedName>
    <definedName name="_xlnm.Print_Titles" localSheetId="0">AWP1A-VLS-[1]KMD!$1:$1</definedName>
  </definedNames>
  <calcPr calcId="191028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5" l="1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S25" i="5" a="1"/>
  <c r="E31" i="5"/>
  <c r="E15" i="5"/>
  <c r="E12" i="5"/>
  <c r="E27" i="5"/>
  <c r="E11" i="5"/>
  <c r="E25" i="5"/>
  <c r="E30" i="5"/>
  <c r="E14" i="5"/>
  <c r="E29" i="5"/>
  <c r="E13" i="5"/>
  <c r="E28" i="5"/>
  <c r="E26" i="5"/>
  <c r="E10" i="5"/>
  <c r="E9" i="5"/>
  <c r="E8" i="5"/>
  <c r="E23" i="5"/>
  <c r="E7" i="5"/>
  <c r="E21" i="5"/>
  <c r="E5" i="5"/>
  <c r="E4" i="5"/>
  <c r="E17" i="5"/>
  <c r="E16" i="5"/>
  <c r="E22" i="5"/>
  <c r="E6" i="5"/>
  <c r="E20" i="5"/>
  <c r="E19" i="5"/>
  <c r="E18" i="5"/>
  <c r="E24" i="5"/>
  <c r="S13" i="5" a="1"/>
  <c r="S18" i="5" a="1"/>
  <c r="S19" i="5" a="1"/>
  <c r="S30" i="5" a="1"/>
  <c r="S29" i="5" a="1"/>
  <c r="S28" i="5" a="1"/>
  <c r="O31" i="5" a="1"/>
  <c r="O30" i="5" a="1"/>
  <c r="O29" i="5" a="1"/>
  <c r="O28" i="5" a="1"/>
  <c r="M31" i="5" a="1"/>
  <c r="M30" i="5" a="1"/>
  <c r="M29" i="5" a="1"/>
  <c r="M28" i="5" a="1"/>
  <c r="I31" i="5" a="1"/>
  <c r="I30" i="5" a="1"/>
  <c r="I29" i="5" a="1"/>
  <c r="I28" i="5" a="1"/>
  <c r="G31" i="5" a="1"/>
  <c r="G30" i="5" a="1"/>
  <c r="G29" i="5" a="1"/>
  <c r="G28" i="5" a="1"/>
  <c r="C31" i="5" a="1"/>
  <c r="C30" i="5" a="1"/>
  <c r="C29" i="5" a="1"/>
  <c r="C28" i="5" a="1"/>
  <c r="C6" i="5" a="1"/>
  <c r="C14" i="5" a="1"/>
  <c r="C22" i="5" a="1"/>
  <c r="G4" i="5" a="1"/>
  <c r="G12" i="5" a="1"/>
  <c r="G20" i="5" a="1"/>
  <c r="I8" i="5" a="1"/>
  <c r="I16" i="5" a="1"/>
  <c r="I24" i="5" a="1"/>
  <c r="M8" i="5" a="1"/>
  <c r="M16" i="5" a="1"/>
  <c r="M24" i="5" a="1"/>
  <c r="O4" i="5" a="1"/>
  <c r="O12" i="5" a="1"/>
  <c r="O20" i="5" a="1"/>
  <c r="S8" i="5" a="1"/>
  <c r="S16" i="5" a="1"/>
  <c r="S24" i="5" a="1"/>
  <c r="C7" i="5" a="1"/>
  <c r="C15" i="5" a="1"/>
  <c r="C23" i="5" a="1"/>
  <c r="G5" i="5" a="1"/>
  <c r="G13" i="5" a="1"/>
  <c r="G21" i="5" a="1"/>
  <c r="I9" i="5" a="1"/>
  <c r="I17" i="5" a="1"/>
  <c r="I25" i="5" a="1"/>
  <c r="M9" i="5" a="1"/>
  <c r="M17" i="5" a="1"/>
  <c r="M25" i="5" a="1"/>
  <c r="O5" i="5" a="1"/>
  <c r="O13" i="5" a="1"/>
  <c r="O21" i="5" a="1"/>
  <c r="S9" i="5" a="1"/>
  <c r="S17" i="5" a="1"/>
  <c r="C16" i="5" a="1"/>
  <c r="G22" i="5" a="1"/>
  <c r="O22" i="5" a="1"/>
  <c r="C8" i="5" a="1"/>
  <c r="C10" i="5" a="1"/>
  <c r="C18" i="5" a="1"/>
  <c r="C26" i="5" a="1"/>
  <c r="G8" i="5" a="1"/>
  <c r="G16" i="5" a="1"/>
  <c r="G24" i="5" a="1"/>
  <c r="I4" i="5" a="1"/>
  <c r="I12" i="5" a="1"/>
  <c r="I20" i="5" a="1"/>
  <c r="M4" i="5" a="1"/>
  <c r="M12" i="5" a="1"/>
  <c r="M20" i="5" a="1"/>
  <c r="O8" i="5" a="1"/>
  <c r="O16" i="5" a="1"/>
  <c r="O24" i="5" a="1"/>
  <c r="S4" i="5" a="1"/>
  <c r="S12" i="5" a="1"/>
  <c r="S20" i="5" a="1"/>
  <c r="C19" i="5" a="1"/>
  <c r="C27" i="5" a="1"/>
  <c r="G9" i="5" a="1"/>
  <c r="G17" i="5" a="1"/>
  <c r="G25" i="5" a="1"/>
  <c r="I5" i="5" a="1"/>
  <c r="I13" i="5" a="1"/>
  <c r="M5" i="5" a="1"/>
  <c r="M13" i="5" a="1"/>
  <c r="M21" i="5" a="1"/>
  <c r="O9" i="5" a="1"/>
  <c r="O25" i="5" a="1"/>
  <c r="S5" i="5" a="1"/>
  <c r="S21" i="5" a="1"/>
  <c r="C20" i="5" a="1"/>
  <c r="C11" i="5" a="1"/>
  <c r="I21" i="5" a="1"/>
  <c r="O17" i="5" a="1"/>
  <c r="C12" i="5" a="1"/>
  <c r="O19" i="5" a="1"/>
  <c r="S7" i="5" a="1"/>
  <c r="S31" i="5" a="1"/>
  <c r="G6" i="5" a="1"/>
  <c r="I10" i="5" a="1"/>
  <c r="I26" i="5" a="1"/>
  <c r="M18" i="5" a="1"/>
  <c r="O6" i="5" a="1"/>
  <c r="C5" i="5" a="1"/>
  <c r="C13" i="5" a="1"/>
  <c r="C21" i="5" a="1"/>
  <c r="G11" i="5" a="1"/>
  <c r="G19" i="5" a="1"/>
  <c r="G27" i="5" a="1"/>
  <c r="I7" i="5" a="1"/>
  <c r="I15" i="5" a="1"/>
  <c r="I23" i="5" a="1"/>
  <c r="M7" i="5" a="1"/>
  <c r="M15" i="5" a="1"/>
  <c r="M23" i="5" a="1"/>
  <c r="O11" i="5" a="1"/>
  <c r="O27" i="5" a="1"/>
  <c r="S15" i="5" a="1"/>
  <c r="S23" i="5" a="1"/>
  <c r="C24" i="5" a="1"/>
  <c r="G14" i="5" a="1"/>
  <c r="I18" i="5" a="1"/>
  <c r="M10" i="5" a="1"/>
  <c r="M26" i="5" a="1"/>
  <c r="O14" i="5" a="1"/>
  <c r="S10" i="5" a="1"/>
  <c r="S26" i="5" a="1"/>
  <c r="C17" i="5" a="1"/>
  <c r="G18" i="5" a="1"/>
  <c r="I22" i="5" a="1"/>
  <c r="S6" i="5" a="1"/>
  <c r="C25" i="5" a="1"/>
  <c r="G23" i="5" a="1"/>
  <c r="I27" i="5" a="1"/>
  <c r="O7" i="5" a="1"/>
  <c r="S11" i="5" a="1"/>
  <c r="G26" i="5" a="1"/>
  <c r="M6" i="5" a="1"/>
  <c r="O10" i="5" a="1"/>
  <c r="S14" i="5" a="1"/>
  <c r="M11" i="5" a="1"/>
  <c r="I11" i="5" a="1"/>
  <c r="S27" i="5" a="1"/>
  <c r="C4" i="5" a="1"/>
  <c r="G10" i="5" a="1"/>
  <c r="M22" i="5" a="1"/>
  <c r="C9" i="5" a="1"/>
  <c r="G15" i="5" a="1"/>
  <c r="M27" i="5" a="1"/>
  <c r="O23" i="5" a="1"/>
  <c r="O15" i="5" a="1"/>
  <c r="I6" i="5" a="1"/>
  <c r="M14" i="5" a="1"/>
  <c r="O18" i="5" a="1"/>
  <c r="S22" i="5" a="1"/>
  <c r="G7" i="5" a="1"/>
  <c r="M19" i="5" a="1"/>
  <c r="I14" i="5" a="1"/>
  <c r="O26" i="5" a="1"/>
  <c r="I19" i="5" a="1"/>
  <c r="S25" i="5" l="1"/>
  <c r="S13" i="5"/>
  <c r="S18" i="5"/>
  <c r="S19" i="5"/>
  <c r="S30" i="5"/>
  <c r="S29" i="5"/>
  <c r="S28" i="5"/>
  <c r="O31" i="5"/>
  <c r="O30" i="5"/>
  <c r="O29" i="5"/>
  <c r="O28" i="5"/>
  <c r="M31" i="5"/>
  <c r="M30" i="5"/>
  <c r="M29" i="5"/>
  <c r="M28" i="5"/>
  <c r="I31" i="5"/>
  <c r="I30" i="5"/>
  <c r="I29" i="5"/>
  <c r="I28" i="5"/>
  <c r="G31" i="5"/>
  <c r="G30" i="5"/>
  <c r="G29" i="5"/>
  <c r="G28" i="5"/>
  <c r="C31" i="5"/>
  <c r="C30" i="5"/>
  <c r="C29" i="5"/>
  <c r="C28" i="5"/>
  <c r="I19" i="5"/>
  <c r="O26" i="5"/>
  <c r="I14" i="5"/>
  <c r="M19" i="5"/>
  <c r="G7" i="5"/>
  <c r="S22" i="5"/>
  <c r="O18" i="5"/>
  <c r="M14" i="5"/>
  <c r="I6" i="5"/>
  <c r="O15" i="5"/>
  <c r="O23" i="5"/>
  <c r="M27" i="5"/>
  <c r="G15" i="5"/>
  <c r="C9" i="5"/>
  <c r="M22" i="5"/>
  <c r="G10" i="5"/>
  <c r="C4" i="5"/>
  <c r="S27" i="5"/>
  <c r="I11" i="5"/>
  <c r="M11" i="5"/>
  <c r="S14" i="5"/>
  <c r="O10" i="5"/>
  <c r="M6" i="5"/>
  <c r="G26" i="5"/>
  <c r="S11" i="5"/>
  <c r="O7" i="5"/>
  <c r="I27" i="5"/>
  <c r="G23" i="5"/>
  <c r="C25" i="5"/>
  <c r="S6" i="5"/>
  <c r="I22" i="5"/>
  <c r="G18" i="5"/>
  <c r="C17" i="5"/>
  <c r="S26" i="5"/>
  <c r="S10" i="5"/>
  <c r="O14" i="5"/>
  <c r="M26" i="5"/>
  <c r="M10" i="5"/>
  <c r="I18" i="5"/>
  <c r="G14" i="5"/>
  <c r="C24" i="5"/>
  <c r="S23" i="5"/>
  <c r="S15" i="5"/>
  <c r="O27" i="5"/>
  <c r="O11" i="5"/>
  <c r="M23" i="5"/>
  <c r="M15" i="5"/>
  <c r="M7" i="5"/>
  <c r="I23" i="5"/>
  <c r="I15" i="5"/>
  <c r="I7" i="5"/>
  <c r="G27" i="5"/>
  <c r="G19" i="5"/>
  <c r="G11" i="5"/>
  <c r="C21" i="5"/>
  <c r="C13" i="5"/>
  <c r="C5" i="5"/>
  <c r="O6" i="5"/>
  <c r="M18" i="5"/>
  <c r="I26" i="5"/>
  <c r="I10" i="5"/>
  <c r="G6" i="5"/>
  <c r="S31" i="5"/>
  <c r="S7" i="5"/>
  <c r="O19" i="5"/>
  <c r="C12" i="5"/>
  <c r="O17" i="5"/>
  <c r="I21" i="5"/>
  <c r="C11" i="5"/>
  <c r="C20" i="5"/>
  <c r="S21" i="5"/>
  <c r="S5" i="5"/>
  <c r="O25" i="5"/>
  <c r="O9" i="5"/>
  <c r="M21" i="5"/>
  <c r="M13" i="5"/>
  <c r="M5" i="5"/>
  <c r="I13" i="5"/>
  <c r="I5" i="5"/>
  <c r="G25" i="5"/>
  <c r="G17" i="5"/>
  <c r="G9" i="5"/>
  <c r="C27" i="5"/>
  <c r="C19" i="5"/>
  <c r="S20" i="5"/>
  <c r="S12" i="5"/>
  <c r="S4" i="5"/>
  <c r="O24" i="5"/>
  <c r="O16" i="5"/>
  <c r="O8" i="5"/>
  <c r="M20" i="5"/>
  <c r="M12" i="5"/>
  <c r="M4" i="5"/>
  <c r="I20" i="5"/>
  <c r="I12" i="5"/>
  <c r="I4" i="5"/>
  <c r="G24" i="5"/>
  <c r="G16" i="5"/>
  <c r="G8" i="5"/>
  <c r="C26" i="5"/>
  <c r="C18" i="5"/>
  <c r="C10" i="5"/>
  <c r="C8" i="5"/>
  <c r="O22" i="5"/>
  <c r="G22" i="5"/>
  <c r="C16" i="5"/>
  <c r="S17" i="5"/>
  <c r="S9" i="5"/>
  <c r="O21" i="5"/>
  <c r="O13" i="5"/>
  <c r="O5" i="5"/>
  <c r="M25" i="5"/>
  <c r="M17" i="5"/>
  <c r="M9" i="5"/>
  <c r="I25" i="5"/>
  <c r="I17" i="5"/>
  <c r="I9" i="5"/>
  <c r="G21" i="5"/>
  <c r="G13" i="5"/>
  <c r="G5" i="5"/>
  <c r="C23" i="5"/>
  <c r="C15" i="5"/>
  <c r="C7" i="5"/>
  <c r="S24" i="5"/>
  <c r="S16" i="5"/>
  <c r="S8" i="5"/>
  <c r="O20" i="5"/>
  <c r="O12" i="5"/>
  <c r="O4" i="5"/>
  <c r="M24" i="5"/>
  <c r="M16" i="5"/>
  <c r="M8" i="5"/>
  <c r="I24" i="5"/>
  <c r="I16" i="5"/>
  <c r="I8" i="5"/>
  <c r="G20" i="5"/>
  <c r="G12" i="5"/>
  <c r="G4" i="5"/>
  <c r="C22" i="5"/>
  <c r="C14" i="5"/>
  <c r="C6" i="5"/>
  <c r="K30" i="5" a="1"/>
  <c r="K29" i="5" a="1"/>
  <c r="K25" i="5" a="1"/>
  <c r="K31" i="5" a="1"/>
  <c r="K28" i="5" a="1"/>
  <c r="K27" i="5" a="1"/>
  <c r="K26" i="5" a="1"/>
  <c r="K10" i="5" a="1"/>
  <c r="K21" i="5" a="1"/>
  <c r="K5" i="5" a="1"/>
  <c r="K19" i="5" a="1"/>
  <c r="K24" i="5" a="1"/>
  <c r="K20" i="5" a="1"/>
  <c r="K16" i="5" a="1"/>
  <c r="K14" i="5" a="1"/>
  <c r="K12" i="5" a="1"/>
  <c r="K8" i="5" a="1"/>
  <c r="K11" i="5" a="1"/>
  <c r="K4" i="5" a="1"/>
  <c r="K22" i="5" a="1"/>
  <c r="K23" i="5" a="1"/>
  <c r="K6" i="5" a="1"/>
  <c r="K15" i="5" a="1"/>
  <c r="K7" i="5" a="1"/>
  <c r="K17" i="5" a="1"/>
  <c r="K18" i="5" a="1"/>
  <c r="K9" i="5" a="1"/>
  <c r="K13" i="5" a="1"/>
  <c r="K10" i="5" l="1"/>
  <c r="K26" i="5"/>
  <c r="K27" i="5"/>
  <c r="K28" i="5"/>
  <c r="K31" i="5"/>
  <c r="K25" i="5"/>
  <c r="K29" i="5"/>
  <c r="K30" i="5"/>
  <c r="K13" i="5"/>
  <c r="K9" i="5"/>
  <c r="K18" i="5"/>
  <c r="K17" i="5"/>
  <c r="K7" i="5"/>
  <c r="K15" i="5"/>
  <c r="K6" i="5"/>
  <c r="K23" i="5"/>
  <c r="K22" i="5"/>
  <c r="K4" i="5"/>
  <c r="K11" i="5"/>
  <c r="K8" i="5"/>
  <c r="K12" i="5"/>
  <c r="K14" i="5"/>
  <c r="K16" i="5"/>
  <c r="K20" i="5"/>
  <c r="K24" i="5"/>
  <c r="K19" i="5"/>
  <c r="K5" i="5"/>
  <c r="K21" i="5"/>
  <c r="G1" i="1" l="1"/>
  <c r="C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2000000}" keepAlive="1" name="Query - GetFileNames" description="Connection to the 'GetFileNames' query in the workbook." type="5" refreshedVersion="7" background="1" saveData="1">
    <dbPr connection="Provider=Microsoft.Mashup.OleDb.1;Data Source=$Workbook$;Location=GetFileNames;Extended Properties=&quot;&quot;" command="SELECT * FROM [GetFileNames]"/>
  </connection>
  <connection id="2" xr16:uid="{00000000-0015-0000-FFFF-FFFF03000000}" keepAlive="1" name="Query - GetTable" description="Connection to the 'GetTable' query in the workbook." type="5" refreshedVersion="7" background="1" saveData="1">
    <dbPr connection="Provider=Microsoft.Mashup.OleDb.1;Data Source=$Workbook$;Location=GetTable;Extended Properties=&quot;&quot;" command="SELECT * FROM [GetTab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<sst xmlns="http://schemas.openxmlformats.org/spreadsheetml/2006/main" count="18736" uniqueCount="2002">
  <si>
    <t>Total number of rows passed</t>
  </si>
  <si>
    <t>Total number of rows failed</t>
  </si>
  <si>
    <t>Project</t>
  </si>
  <si>
    <t>Unit</t>
  </si>
  <si>
    <t>Doc Type</t>
  </si>
  <si>
    <t>Mat Code / 
Dept</t>
  </si>
  <si>
    <t>Serial</t>
  </si>
  <si>
    <t>Document 
Revision</t>
  </si>
  <si>
    <t>Document title</t>
  </si>
  <si>
    <t>Document Revision 
Date</t>
  </si>
  <si>
    <t>Document format</t>
  </si>
  <si>
    <t>Document 
Number of pages</t>
  </si>
  <si>
    <t>Module Number</t>
  </si>
  <si>
    <t>Representation Code</t>
  </si>
  <si>
    <t>Document Language</t>
  </si>
  <si>
    <t>Russian Title</t>
  </si>
  <si>
    <t>Acrobat file</t>
  </si>
  <si>
    <t>Delivery Package</t>
  </si>
  <si>
    <t>Number of drawing</t>
  </si>
  <si>
    <t>Title of drawing</t>
  </si>
  <si>
    <t>Revision of drawing</t>
  </si>
  <si>
    <t>Revision date</t>
  </si>
  <si>
    <t>Revision description</t>
  </si>
  <si>
    <t>Drawing format</t>
  </si>
  <si>
    <t>Number of pages</t>
  </si>
  <si>
    <t>Title of drawing ( in russian )</t>
  </si>
  <si>
    <t>Delivery package</t>
  </si>
  <si>
    <t>Column number</t>
  </si>
  <si>
    <t>Document number present in pdf file</t>
  </si>
  <si>
    <r>
      <t xml:space="preserve">present in PDF </t>
    </r>
    <r>
      <rPr>
        <sz val="2"/>
        <rFont val="Calibri"/>
        <family val="2"/>
        <charset val="204"/>
        <scheme val="minor"/>
      </rPr>
      <t>1</t>
    </r>
  </si>
  <si>
    <r>
      <t xml:space="preserve">present in PDF </t>
    </r>
    <r>
      <rPr>
        <sz val="2"/>
        <rFont val="Calibri"/>
        <family val="2"/>
        <charset val="204"/>
        <scheme val="minor"/>
      </rPr>
      <t>2</t>
    </r>
  </si>
  <si>
    <r>
      <t xml:space="preserve">present in PDF </t>
    </r>
    <r>
      <rPr>
        <sz val="2"/>
        <rFont val="Calibri"/>
        <family val="2"/>
        <charset val="204"/>
        <scheme val="minor"/>
      </rPr>
      <t>3</t>
    </r>
  </si>
  <si>
    <t>Document Revision Description</t>
  </si>
  <si>
    <r>
      <t xml:space="preserve">present in PDF </t>
    </r>
    <r>
      <rPr>
        <sz val="2"/>
        <rFont val="Calibri"/>
        <family val="2"/>
        <charset val="204"/>
        <scheme val="minor"/>
      </rPr>
      <t>4</t>
    </r>
  </si>
  <si>
    <r>
      <t xml:space="preserve">present in PDF </t>
    </r>
    <r>
      <rPr>
        <sz val="2"/>
        <rFont val="Calibri"/>
        <family val="2"/>
        <charset val="204"/>
        <scheme val="minor"/>
      </rPr>
      <t>5</t>
    </r>
  </si>
  <si>
    <r>
      <t xml:space="preserve">present in PDF </t>
    </r>
    <r>
      <rPr>
        <sz val="2"/>
        <rFont val="Calibri"/>
        <family val="2"/>
        <charset val="204"/>
        <scheme val="minor"/>
      </rPr>
      <t>6</t>
    </r>
  </si>
  <si>
    <r>
      <t xml:space="preserve">present in PDF </t>
    </r>
    <r>
      <rPr>
        <sz val="2"/>
        <rFont val="Calibri"/>
        <family val="2"/>
        <charset val="204"/>
        <scheme val="minor"/>
      </rPr>
      <t>7</t>
    </r>
  </si>
  <si>
    <r>
      <t xml:space="preserve">present in PDF </t>
    </r>
    <r>
      <rPr>
        <sz val="2"/>
        <rFont val="Calibri"/>
        <family val="2"/>
        <charset val="204"/>
        <scheme val="minor"/>
      </rPr>
      <t>8</t>
    </r>
  </si>
  <si>
    <t>Issued for Construction</t>
  </si>
  <si>
    <t>File 1</t>
  </si>
  <si>
    <t>079322C-AWP1A</t>
  </si>
  <si>
    <t>CS-KMD</t>
  </si>
  <si>
    <t>06810-D-0728</t>
  </si>
  <si>
    <t>01</t>
  </si>
  <si>
    <t xml:space="preserve">3-TMS-005-DA Deck A Floor Beams sha2-146 </t>
  </si>
  <si>
    <t>26/07/2021</t>
  </si>
  <si>
    <t>A3</t>
  </si>
  <si>
    <t>3-TMS-005</t>
  </si>
  <si>
    <t>AS</t>
  </si>
  <si>
    <t>D</t>
  </si>
  <si>
    <t xml:space="preserve">3-TMS-005-DA Палуба A Балочная клетка sha2-146 </t>
  </si>
  <si>
    <t>079322C-AWP1A-300-CS-KMD-06810-D-0728_01.pdf</t>
  </si>
  <si>
    <t>3S5-DP18-2</t>
  </si>
  <si>
    <t>06810-M-0719</t>
  </si>
  <si>
    <t xml:space="preserve">3-TMS-005-DA Deck A Floor Beams H-3S5-SB-116-100 </t>
  </si>
  <si>
    <t>A2</t>
  </si>
  <si>
    <t xml:space="preserve">3-TMS-005-DA Палуба A Балочная клетка H-3S5-SB-116-100 </t>
  </si>
  <si>
    <t>079322C-AWP1A-300-CS-KMD-06810-M-0719_01.pdf</t>
  </si>
  <si>
    <t>06810-M-0742</t>
  </si>
  <si>
    <t xml:space="preserve">3-TMS-005-DA Deck A Floor Beams H-3S5-SB-116-124 </t>
  </si>
  <si>
    <t>A1</t>
  </si>
  <si>
    <t xml:space="preserve">3-TMS-005-DA Палуба A Балочная клетка H-3S5-SB-116-124 </t>
  </si>
  <si>
    <t>079322C-AWP1A-300-CS-KMD-06810-M-0742_01.pdf</t>
  </si>
  <si>
    <t>06810-M-0765</t>
  </si>
  <si>
    <t xml:space="preserve">3-TMS-005-DA Deck A Floor Beams H-3S5-SB-148-122 </t>
  </si>
  <si>
    <t xml:space="preserve">3-TMS-005-DA Палуба A Балочная клетка H-3S5-SB-148-122 </t>
  </si>
  <si>
    <t>079322C-AWP1A-300-CS-KMD-06810-M-0765_01.pdf</t>
  </si>
  <si>
    <t>06810-M-0780</t>
  </si>
  <si>
    <t xml:space="preserve">3-TMS-005-DA Deck A Floor Beams H-3S5-SB-160-108 </t>
  </si>
  <si>
    <t xml:space="preserve">3-TMS-005-DA Палуба A Балочная клетка H-3S5-SB-160-108 </t>
  </si>
  <si>
    <t>079322C-AWP1A-300-CS-KMD-06810-M-0780_01.pdf</t>
  </si>
  <si>
    <t>079322C-AWP1B</t>
  </si>
  <si>
    <t>04400-M-1609</t>
  </si>
  <si>
    <t>02</t>
  </si>
  <si>
    <t>2-TMP-001 Secondary Structure FLP-2P1-PL-10A-62</t>
  </si>
  <si>
    <t>27/05/2021</t>
  </si>
  <si>
    <t>A2¤A4¤A3</t>
  </si>
  <si>
    <t>2-TMP-001</t>
  </si>
  <si>
    <t>2-TMP-001 Bторичная структура FLP-2P1-PL-10A-62</t>
  </si>
  <si>
    <t>079322C-AWP1B-200-CS-KMD-04400-M-1609_02.pdf</t>
  </si>
  <si>
    <t>2P1-DP41</t>
  </si>
  <si>
    <t>04400-M-1620</t>
  </si>
  <si>
    <t>03</t>
  </si>
  <si>
    <t>2-TMP-001 Secondary Structure FLP-2P1-PL-10A-78</t>
  </si>
  <si>
    <t>09/09/2021</t>
  </si>
  <si>
    <t>A2¤A4</t>
  </si>
  <si>
    <t>2-TMP-001 Bторичная структура FLP-2P1-PL-10A-78</t>
  </si>
  <si>
    <t>079322C-AWP1B-200-CS-KMD-04400-M-1620_03.pdf</t>
  </si>
  <si>
    <t>04400-M-1570</t>
  </si>
  <si>
    <t>2-TMP-001 Secondary Structure FLP-2P1-PL-08A-27</t>
  </si>
  <si>
    <t>2-TMP-001 Bторичная структура FLP-2P1-PL-08A-27</t>
  </si>
  <si>
    <t>079322C-AWP1B-200-CS-KMD-04400-M-1570_02.pdf</t>
  </si>
  <si>
    <t>04400-M-1628</t>
  </si>
  <si>
    <t>2-TMP-001 Secondary Structure FLP-2P1-PL-12A-8</t>
  </si>
  <si>
    <t>A1¤A4¤A3</t>
  </si>
  <si>
    <t>2-TMP-001 Bторичная структура FLP-2P1-PL-12A-8</t>
  </si>
  <si>
    <t>079322C-AWP1B-200-CS-KMD-04400-M-1628_03.pdf</t>
  </si>
  <si>
    <t>04400-M-1631</t>
  </si>
  <si>
    <t>2-TMP-001 Secondary Structure FLP-2P1-PL-12A-14</t>
  </si>
  <si>
    <t>2-TMP-001 Bторичная структура FLP-2P1-PL-12A-14</t>
  </si>
  <si>
    <t>079322C-AWP1B-200-CS-KMD-04400-M-1631_02.pdf</t>
  </si>
  <si>
    <t>04400-M-1636</t>
  </si>
  <si>
    <t>2-TMP-001 Secondary Structure FLP-2P1-PL-12A-20</t>
  </si>
  <si>
    <t>2-TMP-001 Bторичная структура FLP-2P1-PL-12A-20</t>
  </si>
  <si>
    <t>079322C-AWP1B-200-CS-KMD-04400-M-1636_03.pdf</t>
  </si>
  <si>
    <t>04400-M-1641</t>
  </si>
  <si>
    <t>2-TMP-001 Secondary Structure FLP-2P1-PL-12A-29</t>
  </si>
  <si>
    <t>2-TMP-001 Bторичная структура FLP-2P1-PL-12A-29</t>
  </si>
  <si>
    <t>079322C-AWP1B-200-CS-KMD-04400-M-1641_03.pdf</t>
  </si>
  <si>
    <t>04400-M-1758</t>
  </si>
  <si>
    <t>2-TMP-001 Secondary Structure FLP-2P1-PL-10A-119</t>
  </si>
  <si>
    <t>2-TMP-001 Bторичная структура FLP-2P1-PL-10A-119</t>
  </si>
  <si>
    <t>079322C-AWP1B-200-CS-KMD-04400-M-1758_03.pdf</t>
  </si>
  <si>
    <t>04400-M-5302</t>
  </si>
  <si>
    <t>2-TMP-001 Pipe Support OP-2P1-SST-0001-2</t>
  </si>
  <si>
    <t>29/03/2021</t>
  </si>
  <si>
    <t>2-TMP-001 Трубная опора OP-2P1-SST-0001-2</t>
  </si>
  <si>
    <t>079322C-AWP1B-200-CS-KMD-04400-M-5302_02.pdf</t>
  </si>
  <si>
    <t>2P1-DP60</t>
  </si>
  <si>
    <t>04400-M-6010</t>
  </si>
  <si>
    <t>2-TMP-001 Pipe Support OP-2P1-SST-0009-1</t>
  </si>
  <si>
    <t>2-TMP-001 Трубная опора OP-2P1-SST-0009-1</t>
  </si>
  <si>
    <t>079322C-AWP1B-200-CS-KMD-04400-M-6010_02.pdf</t>
  </si>
  <si>
    <t>04400-M-6029</t>
  </si>
  <si>
    <t>2-TMP-001 Pipe Support OP-2P1-SST-0033-1</t>
  </si>
  <si>
    <t>2-TMP-001 Трубная опора OP-2P1-SST-0033-1</t>
  </si>
  <si>
    <t>079322C-AWP1B-200-CS-KMD-04400-M-6029_02.pdf</t>
  </si>
  <si>
    <t>17421-M-0136</t>
  </si>
  <si>
    <t>3-TMP-005-DB-1 Sub-Deck B-WC-3P5-PL-8-065</t>
  </si>
  <si>
    <t>22/09/2021</t>
  </si>
  <si>
    <t>3-TMP-005</t>
  </si>
  <si>
    <t>BL</t>
  </si>
  <si>
    <t>3-TMP-005-DB-1 Часть палубы B-WC-3P5-PL-8-065</t>
  </si>
  <si>
    <t>079322C-AWP1A-300-CS-KMD-17421-M-0136_02.pdf</t>
  </si>
  <si>
    <t>3P5-DP30</t>
  </si>
  <si>
    <t>17421-M-0135</t>
  </si>
  <si>
    <t>3-TMP-005-DB-1 Sub-Deck B-WC-3P5-PL-8-066</t>
  </si>
  <si>
    <t>3-TMP-005-DB-1 Часть палубы B-WC-3P5-PL-8-066</t>
  </si>
  <si>
    <t>079322C-AWP1A-300-CS-KMD-17421-M-0135_02.pdf</t>
  </si>
  <si>
    <t>079322C-GWP5B</t>
  </si>
  <si>
    <t>05120-D-0001</t>
  </si>
  <si>
    <t>1-TMR-002 - Deck-A - Secondary Structure - Monorails-DP48 Single part - dp48-1</t>
  </si>
  <si>
    <t>31/08/2021</t>
  </si>
  <si>
    <t>1-TMR-002</t>
  </si>
  <si>
    <t>EB</t>
  </si>
  <si>
    <t>1-TMR-002 - Ярус-A - Второстепенные конструкции - Монорельсы-DP48 Деталь - dp48-1</t>
  </si>
  <si>
    <t>079322C-GWP5B-100-CS-KMD-05120-D-0001_01.pdf</t>
  </si>
  <si>
    <t>1R2-DP48</t>
  </si>
  <si>
    <t>05120-D-0018</t>
  </si>
  <si>
    <t>1-TMR-002 - Deck-A - Secondary Structure - Monorails-DP48 Single part - dp48-18</t>
  </si>
  <si>
    <t>1-TMR-002 - Ярус-A - Второстепенные конструкции - Монорельсы-DP48 Деталь - dp48-18</t>
  </si>
  <si>
    <t>079322C-GWP5B-100-CS-KMD-05120-D-0018_01.pdf</t>
  </si>
  <si>
    <t>06815-D-0900</t>
  </si>
  <si>
    <t>3-TMS-005-DA Deck A Pipe Supports-op19-1</t>
  </si>
  <si>
    <t>3-TMS-005-DA Палуба A Опоры трубпроводов-op19-1</t>
  </si>
  <si>
    <t>079322C-AWP1A-300-CS-KMD-06815-D-0900_01.pdf</t>
  </si>
  <si>
    <t>3S5-DP19</t>
  </si>
  <si>
    <t>00550-M-0152</t>
  </si>
  <si>
    <t>1-TLP-001 - DECK-A - Secondary Structure MP-1LP-179-HMB-810A-1</t>
  </si>
  <si>
    <t>24/09/2021</t>
  </si>
  <si>
    <t>1</t>
  </si>
  <si>
    <t>1-TLP-001</t>
  </si>
  <si>
    <t>1-TLP-001 - Ярус-A - Второстепенные конструкции MP-1LP-179-HMB-810A-1</t>
  </si>
  <si>
    <t>079322C-GWP5B-100-CS-KMD-00550-M-0152_01.pdf</t>
  </si>
  <si>
    <t>DP70</t>
  </si>
  <si>
    <t>File 2</t>
  </si>
  <si>
    <t>File 3</t>
  </si>
  <si>
    <t>File 4</t>
  </si>
  <si>
    <t>File 5</t>
  </si>
  <si>
    <t>File 6</t>
  </si>
  <si>
    <t>File 7</t>
  </si>
  <si>
    <t>File 8</t>
  </si>
  <si>
    <t>File 9</t>
  </si>
  <si>
    <t>File 10</t>
  </si>
  <si>
    <t>File 11</t>
  </si>
  <si>
    <t>File 12</t>
  </si>
  <si>
    <t>File 13</t>
  </si>
  <si>
    <t>File 14</t>
  </si>
  <si>
    <t>File 15</t>
  </si>
  <si>
    <t>File 16</t>
  </si>
  <si>
    <t>File 17</t>
  </si>
  <si>
    <t>File 18</t>
  </si>
  <si>
    <t>File 19</t>
  </si>
  <si>
    <t>File 20</t>
  </si>
  <si>
    <t>File 21</t>
  </si>
  <si>
    <t>File 22</t>
  </si>
  <si>
    <t>Позиция/</t>
  </si>
  <si>
    <t>Position</t>
  </si>
  <si>
    <t>Oписание/</t>
  </si>
  <si>
    <t>Description</t>
  </si>
  <si>
    <t>Материал/</t>
  </si>
  <si>
    <t>Material</t>
  </si>
  <si>
    <t>Идентиф. номер/</t>
  </si>
  <si>
    <t>расценка:/</t>
  </si>
  <si>
    <t>Кол-во/</t>
  </si>
  <si>
    <t>Ident code</t>
  </si>
  <si>
    <t>Длина,</t>
  </si>
  <si>
    <t>мм/</t>
  </si>
  <si>
    <t>Length,</t>
  </si>
  <si>
    <t>Общ. Вес,</t>
  </si>
  <si>
    <t>Общ. Площади,</t>
  </si>
  <si>
    <t>кг/</t>
  </si>
  <si>
    <t>Unit Weight,</t>
  </si>
  <si>
    <t>кв. м/</t>
  </si>
  <si>
    <t>Ext. Surf.,</t>
  </si>
  <si>
    <t>Qty.</t>
  </si>
  <si>
    <t>Список материалов/Material list</t>
  </si>
  <si>
    <t>Ед.</t>
  </si>
  <si>
    <t>Pay</t>
  </si>
  <si>
    <t>item:</t>
  </si>
  <si>
    <t>3622.01.04</t>
  </si>
  <si>
    <t>Итого:/Total:</t>
  </si>
  <si>
    <t>2</t>
  </si>
  <si>
    <t>16</t>
  </si>
  <si>
    <t>mm</t>
  </si>
  <si>
    <t>35</t>
  </si>
  <si>
    <t>IS10008</t>
  </si>
  <si>
    <t>kg</t>
  </si>
  <si>
    <t>0.2</t>
  </si>
  <si>
    <t>0.1</t>
  </si>
  <si>
    <t>1.6</t>
  </si>
  <si>
    <t>Sq m</t>
  </si>
  <si>
    <t>0.01</t>
  </si>
  <si>
    <t>0.00</t>
  </si>
  <si>
    <t>0.06</t>
  </si>
  <si>
    <t>C355-6</t>
  </si>
  <si>
    <t>sha2/146a</t>
  </si>
  <si>
    <t>sha2/146b</t>
  </si>
  <si>
    <t>sha2/146c</t>
  </si>
  <si>
    <t>sha2/146d</t>
  </si>
  <si>
    <t>sha2/146e</t>
  </si>
  <si>
    <t>sha2/146f</t>
  </si>
  <si>
    <t>sha2/146g</t>
  </si>
  <si>
    <t>sha2/146h</t>
  </si>
  <si>
    <t>sha2/146i</t>
  </si>
  <si>
    <t>sha2/146j</t>
  </si>
  <si>
    <t>sha2/146k</t>
  </si>
  <si>
    <t>sha2/146l</t>
  </si>
  <si>
    <t>DP18.2</t>
  </si>
  <si>
    <t>PL8x35</t>
  </si>
  <si>
    <t>Вид спереди / Front view</t>
  </si>
  <si>
    <t>1:1</t>
  </si>
  <si>
    <t>sha2/146</t>
  </si>
  <si>
    <t>5</t>
  </si>
  <si>
    <t>3</t>
  </si>
  <si>
    <t>о</t>
  </si>
  <si>
    <t>н</t>
  </si>
  <si>
    <t>а</t>
  </si>
  <si>
    <t>в</t>
  </si>
  <si>
    <t>с</t>
  </si>
  <si>
    <t>л</t>
  </si>
  <si>
    <t>г</t>
  </si>
  <si>
    <t>С</t>
  </si>
  <si>
    <t>№</t>
  </si>
  <si>
    <t xml:space="preserve"> </t>
  </si>
  <si>
    <t>.</t>
  </si>
  <si>
    <t>И</t>
  </si>
  <si>
    <t>м</t>
  </si>
  <si>
    <t>з</t>
  </si>
  <si>
    <t>В</t>
  </si>
  <si>
    <t>т</t>
  </si>
  <si>
    <t>д</t>
  </si>
  <si>
    <t>и</t>
  </si>
  <si>
    <t>п</t>
  </si>
  <si>
    <t>П</t>
  </si>
  <si>
    <t>s</t>
  </si>
  <si>
    <t>e</t>
  </si>
  <si>
    <t>r</t>
  </si>
  <si>
    <t>u</t>
  </si>
  <si>
    <t>t</t>
  </si>
  <si>
    <t>c</t>
  </si>
  <si>
    <t>l</t>
  </si>
  <si>
    <t>S</t>
  </si>
  <si>
    <t>a</t>
  </si>
  <si>
    <t>k</t>
  </si>
  <si>
    <t>T</t>
  </si>
  <si>
    <t>КМД ссылочные чертежи/KMD reference drawings</t>
  </si>
  <si>
    <t>в/in</t>
  </si>
  <si>
    <t>H.3S5.SB-116/124</t>
  </si>
  <si>
    <t>H.3S5.SB-116/126</t>
  </si>
  <si>
    <t>Номер чертежа/Drawing number</t>
  </si>
  <si>
    <t>079322C-AWP1A-300-CS-KMD-06810-M-0742_01</t>
  </si>
  <si>
    <t>079322C-AWP1A-300-CS-KMD-06810-M-0743_01</t>
  </si>
  <si>
    <t>шт./pcs.</t>
  </si>
  <si>
    <t>12</t>
  </si>
  <si>
    <t>4</t>
  </si>
  <si>
    <t>ПРИМЕЧАНИЯ:/NOTES:</t>
  </si>
  <si>
    <t>1. Допуск на изготовление см. "3000-VLST-000000-CS-MAN-00618-00".</t>
  </si>
  <si>
    <t>2. Для получения подробной информации о типах сварных швов см. документ</t>
  </si>
  <si>
    <t>3000-VLST-000000-CW-PRO-00617-00.</t>
  </si>
  <si>
    <t xml:space="preserve">3. Нанесение маркировки см. "3000-VLST-000000-CS-PRO-00615-00". </t>
  </si>
  <si>
    <t>4. Требования по АКЗ/ОГЗ будут выданы позднее.</t>
  </si>
  <si>
    <t>5. Все размеры даны в мм, если не указано иное.</t>
  </si>
  <si>
    <t>6. Размеры деталей выполнены без учета зазора для заводских сварных соединений.</t>
  </si>
  <si>
    <t>7. Фаска кромок временных технологических отверстий условно не показана, но она обязательна</t>
  </si>
  <si>
    <t>в соответствии с процедурой "3000-D-EC-200-CS-STD-0009-01" с пунктом 2.13 и эскиза номера 1.</t>
  </si>
  <si>
    <t>1. For fabrication tolerance ref. "3000-VLST-000000-CS-MAN-00618-00".</t>
  </si>
  <si>
    <t>2. For details on weld Types refer to Document "3000-VLST-000000-CW-PRO-00617-00".</t>
  </si>
  <si>
    <t xml:space="preserve">3. For identifications to be applied ref. "3000-VLST-000000-CS-PRO-00615-00". </t>
  </si>
  <si>
    <t>4. Requirements for CSP/PFP will be provided additionally.</t>
  </si>
  <si>
    <t>5. All dimensions are in millimeters U.N.O.</t>
  </si>
  <si>
    <t>6. Dimensions of the parts are specified excluding a gap for shop welds.</t>
  </si>
  <si>
    <t>7. The chamfer of the edges of temporary rat holes is not shown conditionally but it is mandatory</t>
  </si>
  <si>
    <t>Эскиз 1</t>
  </si>
  <si>
    <t>in accordance with the procedure "3000-D-EC-200-CS-STD-0009-01" with paragraph 2.13 and sketch number 1.</t>
  </si>
  <si>
    <t>Sketch 1</t>
  </si>
  <si>
    <t>DRAWING No. / ЧЕРТЕЖ No.</t>
  </si>
  <si>
    <t>3000-D-EC-300-CS-DRW-6810-01</t>
  </si>
  <si>
    <t>3000-D-EC-300-CS-DRW-6815-01</t>
  </si>
  <si>
    <t>3000-D-EC-100-CS-STD-0012-01</t>
  </si>
  <si>
    <t>3000-D-EC-100-CS-STD-0013-01</t>
  </si>
  <si>
    <t>3000-D-EC-200-CS-STD-0009-01</t>
  </si>
  <si>
    <t>3000-D-EC-300-CS-DRW-6817-01</t>
  </si>
  <si>
    <t>REFERENCE KM DRAWINGS / ССЫЛОЧНЫЕ КМ ЧЕРТЕЖИ</t>
  </si>
  <si>
    <t>REV./ИЗМ.</t>
  </si>
  <si>
    <t>DRAWING TITLE / НАЗВАНИЕ ЧЕРТЕЖА</t>
  </si>
  <si>
    <t>02C</t>
  </si>
  <si>
    <t>06C</t>
  </si>
  <si>
    <t>05C</t>
  </si>
  <si>
    <t>04C</t>
  </si>
  <si>
    <t>MODULE 3-TMS-005 STRUCTURAL DRAWINGS SECONDARY FRAMING AND PLATING-GRATING - DECK A</t>
  </si>
  <si>
    <t>MODULE 3-TMS-005 STRUCTURAL DRAWINGS PIPE SUPPORTS - DECK A RUSSIAN CASE</t>
  </si>
  <si>
    <t>STRUCTURAL DRAWING FOR MODULES STANDARDS FOR SECONDARY STRUCTURE</t>
  </si>
  <si>
    <t>STRUCTURAL DRAWING FOR MODULES STANDARDS FOR TERTIARY STRUCTURE</t>
  </si>
  <si>
    <t>STRUCTURAL DRAWING FOR MODULES GENERAL STANDARDS FABRICATION IN RUSSIAN YARDS  DECK A</t>
  </si>
  <si>
    <t>STRUCTURAL DRAWING ELECTRICAL AND INSTRUMENTATION SUPPORTS  DECK A RUSSIAN CASE</t>
  </si>
  <si>
    <t>Rev./</t>
  </si>
  <si>
    <t>Изм.</t>
  </si>
  <si>
    <t>Date/</t>
  </si>
  <si>
    <t>Дата</t>
  </si>
  <si>
    <t>26.07.2021 IFC - Issued for Construction/Выпущено для строительства</t>
  </si>
  <si>
    <t>A.Rusmir</t>
  </si>
  <si>
    <t>Description/Описание</t>
  </si>
  <si>
    <t>Developed by/</t>
  </si>
  <si>
    <t>Разработал</t>
  </si>
  <si>
    <t>J.Kruskonja</t>
  </si>
  <si>
    <t>Checked by/</t>
  </si>
  <si>
    <t>Проверил</t>
  </si>
  <si>
    <t>N.H.-Antic</t>
  </si>
  <si>
    <t>Approved by/</t>
  </si>
  <si>
    <t>Утвердил</t>
  </si>
  <si>
    <t>This document contains proprietary information and is intended for use by Arctic LNG2 LLC authorized personnel or companies only. The copyright of this document is vested in</t>
  </si>
  <si>
    <t>Arctic LNG2 LLC. All rights reserved. It is the responsibility of each user of this document to verify the current revision prior to use. В настоящем документе содержится конфиденциальная</t>
  </si>
  <si>
    <t>информация, которая предназначается для использования исключительно уполномоченными сотрудниками ООО «Арктик СПГ2» или уполномоченными компаниями. Авторские права</t>
  </si>
  <si>
    <t>на настоящий документ предоставляются ООО «Арктик СПГ2». Все права защищены. Каждый пользователь настоящего документа обязан проверять текущую редакцию перед применением.</t>
  </si>
  <si>
    <t>079322C-AWP1A-300-CS-KMD-06810-D-0728</t>
  </si>
  <si>
    <t>Завод СПГ и СГК на ОГТ</t>
  </si>
  <si>
    <t>Кол.уч.</t>
  </si>
  <si>
    <t>Н.контр.</t>
  </si>
  <si>
    <t>Т.контр.</t>
  </si>
  <si>
    <t>Лист</t>
  </si>
  <si>
    <t>А.Русмир</t>
  </si>
  <si>
    <t>Й.Крушконя</t>
  </si>
  <si>
    <t>П.Вуконич</t>
  </si>
  <si>
    <t>№док. Подпись Дата</t>
  </si>
  <si>
    <t>26.07.2021</t>
  </si>
  <si>
    <t>Н.Х. - Антич</t>
  </si>
  <si>
    <t>3-TMS-005-DA Deck A. Floor Beams /</t>
  </si>
  <si>
    <t>3-TMS-005-DA Палуба A. Балочная клетка</t>
  </si>
  <si>
    <t>Single part sha2/146 /</t>
  </si>
  <si>
    <t>Деталь sha2/146</t>
  </si>
  <si>
    <t>Format/Формат A3</t>
  </si>
  <si>
    <t>Стадия</t>
  </si>
  <si>
    <t>P</t>
  </si>
  <si>
    <t>Листов</t>
  </si>
  <si>
    <t>_x000C_</t>
  </si>
  <si>
    <t>SUCCESFULLY EXPORTED</t>
  </si>
  <si>
    <t>Марка/</t>
  </si>
  <si>
    <t>Mark</t>
  </si>
  <si>
    <t>4623</t>
  </si>
  <si>
    <t>Кол-во для одной марки (m2):/Qty. for one mark (m2):</t>
  </si>
  <si>
    <t>IS3063967</t>
  </si>
  <si>
    <t>3622.01.01</t>
  </si>
  <si>
    <t>H.3S5.SB-116/100</t>
  </si>
  <si>
    <t>Система покрытия 1:/Coating system 1:</t>
  </si>
  <si>
    <t>Система покрытия 2:/Coating system 2:</t>
  </si>
  <si>
    <t>Система окраски:/Painting system:</t>
  </si>
  <si>
    <t>sha2/9</t>
  </si>
  <si>
    <t>-</t>
  </si>
  <si>
    <t>I-Section 40B1</t>
  </si>
  <si>
    <t>C355B-KCV-40</t>
  </si>
  <si>
    <t>Нетто вес одной марки:/Net weight of one mark:</t>
  </si>
  <si>
    <t>1% от веса нетто:/1% of net weight:</t>
  </si>
  <si>
    <t>Вес одной марки (включая металл сварного шва):/Weight of one mark (including the weld metal):</t>
  </si>
  <si>
    <t>шт/pc(s)</t>
  </si>
  <si>
    <t>261.9</t>
  </si>
  <si>
    <t>2.6</t>
  </si>
  <si>
    <t>264.5</t>
  </si>
  <si>
    <t>6.95</t>
  </si>
  <si>
    <t>Вид сверху/Top view</t>
  </si>
  <si>
    <t>1:10</t>
  </si>
  <si>
    <t>Уровни структуры/Structure levels</t>
  </si>
  <si>
    <t>кол-во/</t>
  </si>
  <si>
    <t>qty.</t>
  </si>
  <si>
    <t>Отправочная марка/</t>
  </si>
  <si>
    <t>Подсборка/</t>
  </si>
  <si>
    <t>Sub-assembly</t>
  </si>
  <si>
    <t>Сборка/</t>
  </si>
  <si>
    <t>Assembly</t>
  </si>
  <si>
    <t>AS.3S5/001</t>
  </si>
  <si>
    <t>Блок/</t>
  </si>
  <si>
    <t>Block</t>
  </si>
  <si>
    <t>BL.3S5/001</t>
  </si>
  <si>
    <t>Рабочий пакет/</t>
  </si>
  <si>
    <t>Work pack</t>
  </si>
  <si>
    <t>Монтажный блок/</t>
  </si>
  <si>
    <t>Erection block</t>
  </si>
  <si>
    <t>EB.3S5/001</t>
  </si>
  <si>
    <t>147</t>
  </si>
  <si>
    <t>132</t>
  </si>
  <si>
    <t>4344</t>
  </si>
  <si>
    <t>Вид спереди/Front view</t>
  </si>
  <si>
    <t>Временные технологические отверстия с фасками выполнить на</t>
  </si>
  <si>
    <t>монтажной площадке / Cut and bevel the ratholes on the erection site</t>
  </si>
  <si>
    <t>+109.500 (T.O.S.)</t>
  </si>
  <si>
    <t>4235</t>
  </si>
  <si>
    <t>Вид снизу/ Bottom view</t>
  </si>
  <si>
    <t>10</t>
  </si>
  <si>
    <t>F</t>
  </si>
  <si>
    <t>0</t>
  </si>
  <si>
    <t>7</t>
  </si>
  <si>
    <t>159</t>
  </si>
  <si>
    <t>9</t>
  </si>
  <si>
    <t>E</t>
  </si>
  <si>
    <t>6</t>
  </si>
  <si>
    <t>E - E</t>
  </si>
  <si>
    <t>D - D</t>
  </si>
  <si>
    <t>F - F</t>
  </si>
  <si>
    <t>199</t>
  </si>
  <si>
    <t>от/from</t>
  </si>
  <si>
    <t>079322C-AWP1A-300-CS-KMD-02650-AS-001_05</t>
  </si>
  <si>
    <t>079322C-AWP1A-300-CS-KMD-06810-M-0719_01</t>
  </si>
  <si>
    <t>УЗЕЛ 2 - DETAIL 2</t>
  </si>
  <si>
    <t>°</t>
  </si>
  <si>
    <t>R 20</t>
  </si>
  <si>
    <t>20</t>
  </si>
  <si>
    <t>Снять кромки уклоном от 45° по</t>
  </si>
  <si>
    <t>эскизу 1 из примечания чертежа.</t>
  </si>
  <si>
    <t>Remove the edges with a slope of</t>
  </si>
  <si>
    <t>45° according to sketch 1 from</t>
  </si>
  <si>
    <t>the drawing note.</t>
  </si>
  <si>
    <t>11</t>
  </si>
  <si>
    <t>45°</t>
  </si>
  <si>
    <t>УЗЕЛ 1 - DETAIL 1</t>
  </si>
  <si>
    <t>R 10</t>
  </si>
  <si>
    <t>Трехмерный вид / Isometric view</t>
  </si>
  <si>
    <t>1:25</t>
  </si>
  <si>
    <t>Ситуационный план / Keyplan</t>
  </si>
  <si>
    <t>План на отм.+109.500 / Plan at EL.+109.500</t>
  </si>
  <si>
    <t>G</t>
  </si>
  <si>
    <t>E/1</t>
  </si>
  <si>
    <t>D/1</t>
  </si>
  <si>
    <t>C</t>
  </si>
  <si>
    <t>B/1</t>
  </si>
  <si>
    <t>33</t>
  </si>
  <si>
    <t>34</t>
  </si>
  <si>
    <t>36</t>
  </si>
  <si>
    <t>37</t>
  </si>
  <si>
    <t>3. Нанесение маркировки см. "3000-VLST-000000-CS-PRO-00615-00".</t>
  </si>
  <si>
    <t>4. Если марка не состоит из одной детали, чертежи деталей разработаны на отдельных листах.</t>
  </si>
  <si>
    <t>5. Требования по АКЗ/ОГЗ будут выданы позднее.</t>
  </si>
  <si>
    <t>6. Все размеры даны в мм, если не указано иное.</t>
  </si>
  <si>
    <t>7. Все сварные швы выполнить по замкнутому контуру, кроме оговоренных.</t>
  </si>
  <si>
    <t>8. Временные технологические отверстия в деталях заварить согласно процедуре "3000-VLST-000000-CW-PRO-00616-00".</t>
  </si>
  <si>
    <t>9. Размеры деталей выполнены без учета зазора для заводских сварных соединений.</t>
  </si>
  <si>
    <t>10. Фаска кромок временных технологических отверстий условно не показана, но она обязательна</t>
  </si>
  <si>
    <t>3. For identifications to be applied ref. "3000-VLST-000000-CS-PRO-00615-00".</t>
  </si>
  <si>
    <t>4. If the mark does not consist of a single part, the drawings of the parts are developed on separate drawings.</t>
  </si>
  <si>
    <t>5. Requirements for CSP/PFP will be provided additionally.</t>
  </si>
  <si>
    <t>6. All dimensions are in millimeters U.N.O.</t>
  </si>
  <si>
    <t xml:space="preserve">7. Perform all welds in a closed loop, U.N.O. </t>
  </si>
  <si>
    <t>8. Temporary rat holes should be welded according to the procedure "3000-VLST-000000-CW-PRO-00616-00".</t>
  </si>
  <si>
    <t>9. Dimensions of the parts are specified excluding a gap for shop welds.</t>
  </si>
  <si>
    <t>10. The chamfer of the edges of temporary technological holes is not shown conditionally but it is mandatory</t>
  </si>
  <si>
    <t>STRUCTURAL DRAWING FOR MODULES GENERAL STANDARDS FABRICATION IN RUSSIAN YARDS</t>
  </si>
  <si>
    <t>079322C-AWP1A-300-CS-KMD-06810-M-0719</t>
  </si>
  <si>
    <t>Mark H.3S5.SB-116/100 /</t>
  </si>
  <si>
    <t>Отправочная марка H.3S5.SB-116/100</t>
  </si>
  <si>
    <t>Format/Формат A2</t>
  </si>
  <si>
    <t>sha2/134</t>
  </si>
  <si>
    <t>sha2/145a</t>
  </si>
  <si>
    <t>sha2/145b</t>
  </si>
  <si>
    <t>sha2/145c</t>
  </si>
  <si>
    <t>PL40x400</t>
  </si>
  <si>
    <t>IS100040</t>
  </si>
  <si>
    <t>4981</t>
  </si>
  <si>
    <t>240</t>
  </si>
  <si>
    <t>282.2</t>
  </si>
  <si>
    <t>30.1</t>
  </si>
  <si>
    <t>373.7</t>
  </si>
  <si>
    <t>3.7</t>
  </si>
  <si>
    <t>377.4</t>
  </si>
  <si>
    <t>7.17</t>
  </si>
  <si>
    <t>0.24</t>
  </si>
  <si>
    <t>7.89</t>
  </si>
  <si>
    <t>7.95</t>
  </si>
  <si>
    <t>type</t>
  </si>
  <si>
    <t>TC-F</t>
  </si>
  <si>
    <t>TC-C</t>
  </si>
  <si>
    <t>BW-C</t>
  </si>
  <si>
    <t>SF</t>
  </si>
  <si>
    <t>1/2V</t>
  </si>
  <si>
    <t>B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</si>
  <si>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</si>
  <si>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</si>
  <si>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</si>
  <si>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</si>
  <si>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</si>
  <si>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</si>
  <si>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</si>
  <si>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</si>
  <si>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</si>
  <si>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</si>
  <si>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</si>
  <si>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</si>
  <si>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</si>
  <si>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</si>
  <si>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</si>
  <si>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</si>
  <si>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</si>
  <si>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</si>
  <si>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</si>
  <si>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</si>
  <si>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</si>
  <si>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Спецификация сварки/</t>
  </si>
  <si>
    <t>Weld specification</t>
  </si>
  <si>
    <t>см. примечание 2 / see note 2</t>
  </si>
  <si>
    <t>Позиция</t>
  </si>
  <si>
    <t>Номер типа</t>
  </si>
  <si>
    <t>сварки/</t>
  </si>
  <si>
    <t>сварного шва/</t>
  </si>
  <si>
    <t>Weld</t>
  </si>
  <si>
    <t>position</t>
  </si>
  <si>
    <t>Weld type</t>
  </si>
  <si>
    <t>number</t>
  </si>
  <si>
    <t>FMS тип</t>
  </si>
  <si>
    <t>соединения/</t>
  </si>
  <si>
    <t>FMS joint</t>
  </si>
  <si>
    <t>фаски/</t>
  </si>
  <si>
    <t>FMS bevel</t>
  </si>
  <si>
    <t>NDT класс</t>
  </si>
  <si>
    <t>проверки/</t>
  </si>
  <si>
    <t>NDT inspect.</t>
  </si>
  <si>
    <t>class</t>
  </si>
  <si>
    <t>УЗЕЛ 3 - DETAIL 3</t>
  </si>
  <si>
    <t>8</t>
  </si>
  <si>
    <t>H - H</t>
  </si>
  <si>
    <t>47.5</t>
  </si>
  <si>
    <t>114</t>
  </si>
  <si>
    <t>УЗЕЛ 4 - DETAIL 4</t>
  </si>
  <si>
    <t>sha2/145 b</t>
  </si>
  <si>
    <t>1977</t>
  </si>
  <si>
    <t>120</t>
  </si>
  <si>
    <t>768</t>
  </si>
  <si>
    <t>783</t>
  </si>
  <si>
    <t>656</t>
  </si>
  <si>
    <t>290</t>
  </si>
  <si>
    <t>60</t>
  </si>
  <si>
    <t>1917</t>
  </si>
  <si>
    <t>648</t>
  </si>
  <si>
    <t>663</t>
  </si>
  <si>
    <t>596</t>
  </si>
  <si>
    <t>14</t>
  </si>
  <si>
    <t>133</t>
  </si>
  <si>
    <t>271</t>
  </si>
  <si>
    <t>19</t>
  </si>
  <si>
    <t>H</t>
  </si>
  <si>
    <t>B-B</t>
  </si>
  <si>
    <t>4787</t>
  </si>
  <si>
    <t>G - G</t>
  </si>
  <si>
    <t>1:15</t>
  </si>
  <si>
    <t>sha2/145</t>
  </si>
  <si>
    <t>079322C-AWP1A-300-CS-KMD-06810-D-0726_01</t>
  </si>
  <si>
    <t>079322C-AWP1A-300-CS-KMD-06810-D-0727_01</t>
  </si>
  <si>
    <t>079322C-AWP1A-300-CS-KMD-06810-D-0728_01</t>
  </si>
  <si>
    <t>079322C-AWP1A-300-CS-KMD-06810-M-0742</t>
  </si>
  <si>
    <t>Mark H.3S5.SB-116/124 /</t>
  </si>
  <si>
    <t>Отправочная марка H.3S5.SB-116/124</t>
  </si>
  <si>
    <t>Format/Формат A1</t>
  </si>
  <si>
    <t>1283</t>
  </si>
  <si>
    <t>IS3063007</t>
  </si>
  <si>
    <t>H.3S5.SB-148/122-AA</t>
  </si>
  <si>
    <t>H.3S5.SB-148/122-AB</t>
  </si>
  <si>
    <t>sha2/118</t>
  </si>
  <si>
    <t>I-Section 30B2</t>
  </si>
  <si>
    <t>H.3S5.SB-148/122</t>
  </si>
  <si>
    <t>47.1</t>
  </si>
  <si>
    <t>0.5</t>
  </si>
  <si>
    <t>47.6</t>
  </si>
  <si>
    <t>95.2</t>
  </si>
  <si>
    <t>1.37</t>
  </si>
  <si>
    <t>2.73</t>
  </si>
  <si>
    <t>945</t>
  </si>
  <si>
    <t>98</t>
  </si>
  <si>
    <t>18</t>
  </si>
  <si>
    <t>R 18</t>
  </si>
  <si>
    <t>1139</t>
  </si>
  <si>
    <t>110</t>
  </si>
  <si>
    <t>6.5</t>
  </si>
  <si>
    <t>150</t>
  </si>
  <si>
    <t>079322C-AWP1A-300-CS-KMD-06810-M-0765_01</t>
  </si>
  <si>
    <t>H.3S5.SB-148/122 AA</t>
  </si>
  <si>
    <t>H.3S5.SB-148/122 AB</t>
  </si>
  <si>
    <t>079322C-AWP1A-300-CS-KMD-06810-M-0765</t>
  </si>
  <si>
    <t>Mark H.3S5.SB-148/122 /</t>
  </si>
  <si>
    <t>Отправочная марка H.3S5.SB-148/122</t>
  </si>
  <si>
    <t>1020</t>
  </si>
  <si>
    <t>IS3062506</t>
  </si>
  <si>
    <t>H.3S5.SB-160/108</t>
  </si>
  <si>
    <t>sha2/55</t>
  </si>
  <si>
    <t>I-Section 25B2</t>
  </si>
  <si>
    <t>0.3</t>
  </si>
  <si>
    <t>30.4</t>
  </si>
  <si>
    <t>0.93</t>
  </si>
  <si>
    <t>910</t>
  </si>
  <si>
    <t>85</t>
  </si>
  <si>
    <t>780</t>
  </si>
  <si>
    <t>125</t>
  </si>
  <si>
    <t>079322C-AWP1A-300-CS-KMD-06810-M-0780_01</t>
  </si>
  <si>
    <t>079322C-AWP1A-300-CS-KMD-06810-M-0780</t>
  </si>
  <si>
    <t>Mark H.3S5.SB-160/108 /</t>
  </si>
  <si>
    <t>Отправочная марка H.3S5.SB-160/108</t>
  </si>
  <si>
    <t>Примечания:</t>
  </si>
  <si>
    <t>1.Работать совместно с 3000-D-EC-000-MC-SPE-0053-00_03C; 3000-D-EC-000-MC-SPE-0052-00_03C</t>
  </si>
  <si>
    <t>2.Материал конструкций в соответствии с маркой стали в таблице материалов</t>
  </si>
  <si>
    <t>3.Изготовление конструкций производить в соответствии с требованиями ГОСТ 23118-2012.</t>
  </si>
  <si>
    <t>4.Место маркировки располагать на расстоянии 500 мм от края элемента.</t>
  </si>
  <si>
    <t>5.На всех деталях выбить номер плавки.</t>
  </si>
  <si>
    <t>Если применяется сварка:</t>
  </si>
  <si>
    <t>6.Не допускается наличие примыкания деталей без сварного шва, все щели и скосы должны</t>
  </si>
  <si>
    <t>быть заварены, все швы закольцованы.</t>
  </si>
  <si>
    <t>7.Все швы варить по утвержденной технологии сварки WPS.</t>
  </si>
  <si>
    <t>8.Все сварные швы обозначены согласно ИСО 2553-2017.</t>
  </si>
  <si>
    <t>9.Сварные швы варить согласно утвержденной технологии сварки WPS, №478RHI-PR-02-04.</t>
  </si>
  <si>
    <t>10. Для угловых швов с номера буклета T001 и T029, зазор сварного шва не включен в величину катета, поэтому</t>
  </si>
  <si>
    <t>монтажный зазор будет включен во время сварочных работ. Для T051 и T052 зазор сварного шва уже включен в катет,</t>
  </si>
  <si>
    <t>поэтому величина катета сварного шва не должна увеличиваться с учетом монтажного зазора</t>
  </si>
  <si>
    <t>Notes:</t>
  </si>
  <si>
    <t>1.Work together with 3000-D-EC-000-MC-SPE-0053-00_03C; 3000-D-EC-000-MC-SPE-0052-00_03C</t>
  </si>
  <si>
    <t>2.Material of structures as per the steel grade in material table.</t>
  </si>
  <si>
    <t>3.Fabricate structures as per the terms of GOST 23118-2012.</t>
  </si>
  <si>
    <t>4.Place marking at a distance of 500 mm from the edge of an element.</t>
  </si>
  <si>
    <t>5.Punch a melt number on all details.</t>
  </si>
  <si>
    <t>If welding applies:</t>
  </si>
  <si>
    <t>6.It is not allowed to have the joints of parts without a weld. All gaps and bevels must be welded,</t>
  </si>
  <si>
    <t>all welds are rounded.</t>
  </si>
  <si>
    <t>7.Perform all welds as per the approved WPS welding process.</t>
  </si>
  <si>
    <t>8.All welds are marked as per ISO 2553-2017.</t>
  </si>
  <si>
    <t>9.Weld seams should be welded according to the approved WPS welding technology, no. 478RHI-PR-02-04.</t>
  </si>
  <si>
    <t>10. For fillet welds with T001 and T029 booklet numbers, root gap is not included in the leg length, so the fitting gap is</t>
  </si>
  <si>
    <t>going to be included while welding process. For T051 and T052, root gap is included in the leg length, so the leg length</t>
  </si>
  <si>
    <t>should not be increased according to fitting gap</t>
  </si>
  <si>
    <t>*</t>
  </si>
  <si>
    <t>3283</t>
  </si>
  <si>
    <t>FLP.2P1.PL-10A/62</t>
  </si>
  <si>
    <t>М 1:10</t>
  </si>
  <si>
    <t>13553</t>
  </si>
  <si>
    <t>13552</t>
  </si>
  <si>
    <t>75</t>
  </si>
  <si>
    <t>100076C</t>
  </si>
  <si>
    <t>101702C</t>
  </si>
  <si>
    <t>60°</t>
  </si>
  <si>
    <t>32477 B</t>
  </si>
  <si>
    <t>100074 C</t>
  </si>
  <si>
    <t>20443</t>
  </si>
  <si>
    <t>32503 B</t>
  </si>
  <si>
    <t>100075 C</t>
  </si>
  <si>
    <t>20441</t>
  </si>
  <si>
    <t>100077C</t>
  </si>
  <si>
    <t>20902</t>
  </si>
  <si>
    <t>675</t>
  </si>
  <si>
    <t>2025</t>
  </si>
  <si>
    <t>2680</t>
  </si>
  <si>
    <t>2700</t>
  </si>
  <si>
    <t>07</t>
  </si>
  <si>
    <t>101704C</t>
  </si>
  <si>
    <t>1 - 1</t>
  </si>
  <si>
    <t>M 1:3</t>
  </si>
  <si>
    <t>2 - 2</t>
  </si>
  <si>
    <t>101701 C</t>
  </si>
  <si>
    <t>100826 C</t>
  </si>
  <si>
    <t>100073C</t>
  </si>
  <si>
    <t>28</t>
  </si>
  <si>
    <t>29</t>
  </si>
  <si>
    <t>Спецификация деталей/Parts specification</t>
  </si>
  <si>
    <t>Масса, кг/Weight, kg</t>
  </si>
  <si>
    <t>Профиль</t>
  </si>
  <si>
    <t>Profile</t>
  </si>
  <si>
    <t>мм</t>
  </si>
  <si>
    <t>общ./total</t>
  </si>
  <si>
    <t>марки</t>
  </si>
  <si>
    <t>assebmly</t>
  </si>
  <si>
    <t>Система</t>
  </si>
  <si>
    <t>покрытия 1</t>
  </si>
  <si>
    <t>Coating</t>
  </si>
  <si>
    <t>System 1</t>
  </si>
  <si>
    <t>покрытия 2</t>
  </si>
  <si>
    <t>System 2</t>
  </si>
  <si>
    <t>Покраски</t>
  </si>
  <si>
    <t>Painting</t>
  </si>
  <si>
    <t>System</t>
  </si>
  <si>
    <t>Примечание</t>
  </si>
  <si>
    <t>Notes</t>
  </si>
  <si>
    <t>Марка</t>
  </si>
  <si>
    <t>№ поз.</t>
  </si>
  <si>
    <t>№ pos.</t>
  </si>
  <si>
    <t>Кол.</t>
  </si>
  <si>
    <t>шт.</t>
  </si>
  <si>
    <t>Q-ty</t>
  </si>
  <si>
    <t>pcs.</t>
  </si>
  <si>
    <t>- 10x890</t>
  </si>
  <si>
    <t>L80X6</t>
  </si>
  <si>
    <t>- 6x22</t>
  </si>
  <si>
    <t>- 6x23</t>
  </si>
  <si>
    <t>188.6</t>
  </si>
  <si>
    <t>0.6</t>
  </si>
  <si>
    <t>0.0</t>
  </si>
  <si>
    <t>19.7</t>
  </si>
  <si>
    <t>2.8</t>
  </si>
  <si>
    <t>Масса напл. металла, кг/ Weld metal weight, kg: 0.6</t>
  </si>
  <si>
    <t>74</t>
  </si>
  <si>
    <t>377</t>
  </si>
  <si>
    <t>76</t>
  </si>
  <si>
    <t>Иден-ный</t>
  </si>
  <si>
    <t>номер</t>
  </si>
  <si>
    <t>SPMat</t>
  </si>
  <si>
    <t>Оплата</t>
  </si>
  <si>
    <t>Payitem</t>
  </si>
  <si>
    <t>стали</t>
  </si>
  <si>
    <t>Steel</t>
  </si>
  <si>
    <t>grade</t>
  </si>
  <si>
    <t>C255-4</t>
  </si>
  <si>
    <t>C255-5</t>
  </si>
  <si>
    <t>Общий вес кг/ Total weight  kg: 212.3</t>
  </si>
  <si>
    <t>Ident Code</t>
  </si>
  <si>
    <t>IS100010</t>
  </si>
  <si>
    <t>IS5005806</t>
  </si>
  <si>
    <t>IS10056</t>
  </si>
  <si>
    <t>3622.01.02</t>
  </si>
  <si>
    <t>211.7</t>
  </si>
  <si>
    <t xml:space="preserve">ABS-SubAssembly : </t>
  </si>
  <si>
    <t xml:space="preserve">ABS-Assembly : </t>
  </si>
  <si>
    <t xml:space="preserve">ABS-Block : </t>
  </si>
  <si>
    <t xml:space="preserve">ABS-Workpack : </t>
  </si>
  <si>
    <t xml:space="preserve">ABS-ErectionBlock : </t>
  </si>
  <si>
    <t>AS.2P1/6</t>
  </si>
  <si>
    <t>BL.2P1/3</t>
  </si>
  <si>
    <t>EB.2P1/1</t>
  </si>
  <si>
    <t>079322C-AWP1B-200-CS-KMD-04400-AS-022</t>
  </si>
  <si>
    <t>079322C-AWP1B-200-CS-KMD-04400-BL-011</t>
  </si>
  <si>
    <t>079322C-AWP1B-200-CS-KMD-04400-EB-001</t>
  </si>
  <si>
    <t>Ведомость элементов/List of Assembly from</t>
  </si>
  <si>
    <t>Чертеж Марки</t>
  </si>
  <si>
    <t>Assembly drawing</t>
  </si>
  <si>
    <t>Кол-во, шт</t>
  </si>
  <si>
    <t>Q-ty, pcs</t>
  </si>
  <si>
    <t>Масса, кг</t>
  </si>
  <si>
    <t>Weight, kg</t>
  </si>
  <si>
    <t>079322C-AWP1B-200-CS-KMD-04400-M-1609</t>
  </si>
  <si>
    <t>Вес марок, кг</t>
  </si>
  <si>
    <t xml:space="preserve">Assembly Weight, kg </t>
  </si>
  <si>
    <t>212.3</t>
  </si>
  <si>
    <t>KEY PLAN / ПЛАН</t>
  </si>
  <si>
    <t>Deck C - Plan at El. +133.500  T.O.S.</t>
  </si>
  <si>
    <t>R/1</t>
  </si>
  <si>
    <t>Q/1</t>
  </si>
  <si>
    <t>04</t>
  </si>
  <si>
    <t>05</t>
  </si>
  <si>
    <t>06</t>
  </si>
  <si>
    <t>08</t>
  </si>
  <si>
    <t>Использовать для/Use for:</t>
  </si>
  <si>
    <t>2406-KMD-1609</t>
  </si>
  <si>
    <t>Изм/Rev</t>
  </si>
  <si>
    <t>Исполнил / Designer</t>
  </si>
  <si>
    <t>Проверил / Checker</t>
  </si>
  <si>
    <t>Утвердил / Verifier</t>
  </si>
  <si>
    <t>Уч/Area Исполнил/Designer</t>
  </si>
  <si>
    <t>O.POYRAZ / О. ПОЙРАЗ</t>
  </si>
  <si>
    <t>T.BOZKURT / Т. БОЗКУРТ</t>
  </si>
  <si>
    <t>C.ARMAGAN / К. АРМАГАН</t>
  </si>
  <si>
    <t>27.05.2021</t>
  </si>
  <si>
    <t>Подп/Sign Дата/Date</t>
  </si>
  <si>
    <t>Лист/Sheet</t>
  </si>
  <si>
    <t>Листов/Total Sheets</t>
  </si>
  <si>
    <t>Изм./</t>
  </si>
  <si>
    <t>Rev.</t>
  </si>
  <si>
    <t>29.03.2021</t>
  </si>
  <si>
    <t>Дата / Date</t>
  </si>
  <si>
    <t>IFC - Issued for Construction / Выпущено для строительства</t>
  </si>
  <si>
    <t>Описание / Description</t>
  </si>
  <si>
    <t>Разработал/</t>
  </si>
  <si>
    <t>Developed by</t>
  </si>
  <si>
    <t>T.BOZKURT / T. БОЗКУРТ</t>
  </si>
  <si>
    <t>Проверил/</t>
  </si>
  <si>
    <t>Checked by</t>
  </si>
  <si>
    <t>Утвердил/</t>
  </si>
  <si>
    <t>Approved by</t>
  </si>
  <si>
    <t>Arctic LNG2 LLC. All rights reserved. It is the responsibility of each user of this document to verify the current revision prior to use. В настоящий документ содержит информацию</t>
  </si>
  <si>
    <t>являющуюся собственностью компании и предназначен для использования только персоналом или компаниями, уполномоченными компанией ООО "Арктик СПГ-2".</t>
  </si>
  <si>
    <t>Все права защищены. Каждый пользователь данного документа должен проверять текущую редакцию документа перед использованием.</t>
  </si>
  <si>
    <t>Изм./Rev Уч./Area Исполнил/Designer Подпись/Sign Дата/Date</t>
  </si>
  <si>
    <t>Нач ТО. / Ch.Designer</t>
  </si>
  <si>
    <t>Н.контр / Checker</t>
  </si>
  <si>
    <t>Plant LNG and SGC on GBS</t>
  </si>
  <si>
    <t>Стадия / Stage</t>
  </si>
  <si>
    <t>Лист / Sheet Листов / Total Sheets</t>
  </si>
  <si>
    <t>Secondary Structure</t>
  </si>
  <si>
    <t xml:space="preserve">Bторичная Cтруктура </t>
  </si>
  <si>
    <t>Format / Формат: A2</t>
  </si>
  <si>
    <t>î</t>
  </si>
  <si>
    <t>í</t>
  </si>
  <si>
    <t>à</t>
  </si>
  <si>
    <t>â</t>
  </si>
  <si>
    <t>ñ</t>
  </si>
  <si>
    <t>ë</t>
  </si>
  <si>
    <t>ã</t>
  </si>
  <si>
    <t>Ñ</t>
  </si>
  <si>
    <t xml:space="preserve">â. </t>
  </si>
  <si>
    <t>È</t>
  </si>
  <si>
    <t xml:space="preserve">ì. </t>
  </si>
  <si>
    <t>ç</t>
  </si>
  <si>
    <t>Â</t>
  </si>
  <si>
    <t>ò</t>
  </si>
  <si>
    <t>ä</t>
  </si>
  <si>
    <t>è</t>
  </si>
  <si>
    <t xml:space="preserve">ï. </t>
  </si>
  <si>
    <t>Ï</t>
  </si>
  <si>
    <t>ë.</t>
  </si>
  <si>
    <t>ï</t>
  </si>
  <si>
    <t>ВЕДОМОСТЬ СВАРНЫХ ШВОВ/LIST OF WELDS</t>
  </si>
  <si>
    <t>Номер Дет. 1</t>
  </si>
  <si>
    <t>POS NUMBER 1</t>
  </si>
  <si>
    <t>Номер Дет. 2</t>
  </si>
  <si>
    <t>POS NUMBER 2</t>
  </si>
  <si>
    <t>НОМЕР БУКЛЕТА</t>
  </si>
  <si>
    <t>BOOKLET NUMBER</t>
  </si>
  <si>
    <t>Bevel type</t>
  </si>
  <si>
    <t>Разделка кромки</t>
  </si>
  <si>
    <t>Тип соединения</t>
  </si>
  <si>
    <t>Длинна 1 мм</t>
  </si>
  <si>
    <t>LENGTH 1 mm</t>
  </si>
  <si>
    <t>Длинна 2 мм</t>
  </si>
  <si>
    <t>LENGTH 2 mm</t>
  </si>
  <si>
    <t>Катет 1 мм</t>
  </si>
  <si>
    <t>WELD LEG 1 mm</t>
  </si>
  <si>
    <t>Класс Контроля</t>
  </si>
  <si>
    <t>INSPECTION CLASS</t>
  </si>
  <si>
    <t>Индекс</t>
  </si>
  <si>
    <t>VD code</t>
  </si>
  <si>
    <t>№ Сварного шва</t>
  </si>
  <si>
    <t>WELD NUMBER</t>
  </si>
  <si>
    <t>32477</t>
  </si>
  <si>
    <t>100073</t>
  </si>
  <si>
    <t>100075</t>
  </si>
  <si>
    <t>100077</t>
  </si>
  <si>
    <t>101701</t>
  </si>
  <si>
    <t>101704</t>
  </si>
  <si>
    <t>T053</t>
  </si>
  <si>
    <t>T029</t>
  </si>
  <si>
    <t>T042</t>
  </si>
  <si>
    <t>V</t>
  </si>
  <si>
    <t>JOINT TYPE</t>
  </si>
  <si>
    <t>SEAL</t>
  </si>
  <si>
    <t>143</t>
  </si>
  <si>
    <t>77</t>
  </si>
  <si>
    <t>2593</t>
  </si>
  <si>
    <t>2678</t>
  </si>
  <si>
    <t>Катет 2 мм</t>
  </si>
  <si>
    <t>WELD LEG 2 mm</t>
  </si>
  <si>
    <t>5.0</t>
  </si>
  <si>
    <t>4.0</t>
  </si>
  <si>
    <t>32503</t>
  </si>
  <si>
    <t>100074</t>
  </si>
  <si>
    <t>100076</t>
  </si>
  <si>
    <t>100826</t>
  </si>
  <si>
    <t>101702</t>
  </si>
  <si>
    <t>288</t>
  </si>
  <si>
    <t>292</t>
  </si>
  <si>
    <t>_x000C_№ ïîç./</t>
  </si>
  <si>
    <t>Flooring Plate</t>
  </si>
  <si>
    <t>Ñïèñîê ìàòåðèàëîâ/Material list</t>
  </si>
  <si>
    <t>Äëèíà, ìì/</t>
  </si>
  <si>
    <t>Length, mm</t>
  </si>
  <si>
    <t>Ìàòåðèàë/</t>
  </si>
  <si>
    <t>Íàèìåíîâàíèå äåòàëè/</t>
  </si>
  <si>
    <t>Name of part</t>
  </si>
  <si>
    <t>Êîë-âî/</t>
  </si>
  <si>
    <t>Màññà, êã/Unit Weight, kg</t>
  </si>
  <si>
    <t>øò./pcs</t>
  </si>
  <si>
    <t>îáù./total</t>
  </si>
  <si>
    <t>1:20</t>
  </si>
  <si>
    <t>Исполнил/Designer</t>
  </si>
  <si>
    <t>Проверил/Checker</t>
  </si>
  <si>
    <t>2406-KMD-Detail-3283</t>
  </si>
  <si>
    <t>Upd.No.</t>
  </si>
  <si>
    <t>Sheet</t>
  </si>
  <si>
    <t>Doc.No</t>
  </si>
  <si>
    <t>Sign.</t>
  </si>
  <si>
    <t>Date</t>
  </si>
  <si>
    <t>Èçì.</t>
  </si>
  <si>
    <t>Êîë.ó÷.</t>
  </si>
  <si>
    <t>Ëèñò №äîê.</t>
  </si>
  <si>
    <t>Ïîäïèñü</t>
  </si>
  <si>
    <t>Äàòà</t>
  </si>
  <si>
    <t xml:space="preserve">Secondary Structure / Bòîðè÷íàÿ Còðóêòóðà </t>
  </si>
  <si>
    <t>Íîìåð äîêóìåíòà ñóáïîäðÿä÷èêà:/Subcontractor Document No.:</t>
  </si>
  <si>
    <t>Sheet/</t>
  </si>
  <si>
    <t>Ëèñò</t>
  </si>
  <si>
    <t>Format / Ôîðìàò A4</t>
  </si>
  <si>
    <t>â. №</t>
  </si>
  <si>
    <t>ì. È</t>
  </si>
  <si>
    <t>ï. è ä</t>
  </si>
  <si>
    <t>â. № ï</t>
  </si>
  <si>
    <t>_x000C_Ñïèñîê ìàòåðèàëîâ/Material list</t>
  </si>
  <si>
    <t>GP Transition</t>
  </si>
  <si>
    <t>№ ïîç./</t>
  </si>
  <si>
    <t>A</t>
  </si>
  <si>
    <t>М 1:1</t>
  </si>
  <si>
    <t>A - A</t>
  </si>
  <si>
    <t>B - B</t>
  </si>
  <si>
    <t>1 8 °</t>
  </si>
  <si>
    <t>72</t>
  </si>
  <si>
    <t>2406-KMD-Detail-13552</t>
  </si>
  <si>
    <t>68</t>
  </si>
  <si>
    <t>2406-KMD-Detail-13553</t>
  </si>
  <si>
    <t>1 6 °</t>
  </si>
  <si>
    <t>79</t>
  </si>
  <si>
    <t>71</t>
  </si>
  <si>
    <t>17°</t>
  </si>
  <si>
    <t>C - C</t>
  </si>
  <si>
    <t>M 1:1</t>
  </si>
  <si>
    <t>1 3 °</t>
  </si>
  <si>
    <t>2406-KMD-Detail-20441</t>
  </si>
  <si>
    <t>Format / Ôîðìàò A3</t>
  </si>
  <si>
    <t>16°</t>
  </si>
  <si>
    <t>44°</t>
  </si>
  <si>
    <t>376</t>
  </si>
  <si>
    <t>42°</t>
  </si>
  <si>
    <t>13°</t>
  </si>
  <si>
    <t>15</t>
  </si>
  <si>
    <t>43°</t>
  </si>
  <si>
    <t>73°</t>
  </si>
  <si>
    <t>2406-KMD-Detail-20443</t>
  </si>
  <si>
    <t>69</t>
  </si>
  <si>
    <t>2406-KMD-Detail-20902</t>
  </si>
  <si>
    <t>- 10x675</t>
  </si>
  <si>
    <t>Масса напл. металла, кг/ Weld metal weight, kg: 0</t>
  </si>
  <si>
    <t>135.3</t>
  </si>
  <si>
    <t>Общий вес кг/ Total weight  kg: 135.3</t>
  </si>
  <si>
    <t>FLP.2P1.PL-10A/78</t>
  </si>
  <si>
    <t>24538</t>
  </si>
  <si>
    <t>2690</t>
  </si>
  <si>
    <t>Уровни структуры / Structure Levels</t>
  </si>
  <si>
    <t>079322C-AWP1B-200-CS-KMD-04400-M-1620</t>
  </si>
  <si>
    <t>M 1:10</t>
  </si>
  <si>
    <t>80</t>
  </si>
  <si>
    <t>137</t>
  </si>
  <si>
    <t>R 135</t>
  </si>
  <si>
    <t>0 R 80</t>
  </si>
  <si>
    <t>R 8</t>
  </si>
  <si>
    <t>R 80</t>
  </si>
  <si>
    <t>R</t>
  </si>
  <si>
    <t>58</t>
  </si>
  <si>
    <t>438</t>
  </si>
  <si>
    <t>297</t>
  </si>
  <si>
    <t>457</t>
  </si>
  <si>
    <t>434</t>
  </si>
  <si>
    <t>278</t>
  </si>
  <si>
    <t>432</t>
  </si>
  <si>
    <t xml:space="preserve"> Key Plan/ План</t>
  </si>
  <si>
    <t>DeckC - Plan at El. +133.500 T.O.S.</t>
  </si>
  <si>
    <t>2406-KMD-1620-0</t>
  </si>
  <si>
    <t>09.09.2021</t>
  </si>
  <si>
    <t>IFC - ISSUED FOR CONSTRUCTION / ВЫПУЩЕНО ДЛЯ СТРОИТЕЛЬСТВА</t>
  </si>
  <si>
    <t>Secondary Structure FLP.2P1.PL-10A/78</t>
  </si>
  <si>
    <t>Bторичная структура FLP.2P1.PL-10A/78</t>
  </si>
  <si>
    <t xml:space="preserve"> ï</t>
  </si>
  <si>
    <t>M 1:15</t>
  </si>
  <si>
    <t>R  13 3</t>
  </si>
  <si>
    <t>496</t>
  </si>
  <si>
    <t>2406-KMD-Detail-24538</t>
  </si>
  <si>
    <t>Secondary Structure / Bòîðè÷íàÿ ñòðóêòóðà FLP.2P1.PL-10A/78</t>
  </si>
  <si>
    <t>M 1:2</t>
  </si>
  <si>
    <t>78</t>
  </si>
  <si>
    <t>20713</t>
  </si>
  <si>
    <t>100116C</t>
  </si>
  <si>
    <t>100775C</t>
  </si>
  <si>
    <t>20396</t>
  </si>
  <si>
    <t>19937</t>
  </si>
  <si>
    <t>4 - 4</t>
  </si>
  <si>
    <t>25</t>
  </si>
  <si>
    <t>20391</t>
  </si>
  <si>
    <t>100768C</t>
  </si>
  <si>
    <t>30</t>
  </si>
  <si>
    <t>20827</t>
  </si>
  <si>
    <t>100117C</t>
  </si>
  <si>
    <t>FLP.2P1.PL-08A/27</t>
  </si>
  <si>
    <t>М 1:5</t>
  </si>
  <si>
    <t>3485</t>
  </si>
  <si>
    <t>100118C</t>
  </si>
  <si>
    <t>100120C</t>
  </si>
  <si>
    <t>32474 B</t>
  </si>
  <si>
    <t>100121C</t>
  </si>
  <si>
    <t>3469</t>
  </si>
  <si>
    <t>3490</t>
  </si>
  <si>
    <t>3 - 3</t>
  </si>
  <si>
    <t>M 1:5</t>
  </si>
  <si>
    <t>100119C</t>
  </si>
  <si>
    <t>- 8x1190</t>
  </si>
  <si>
    <t>- 6x25</t>
  </si>
  <si>
    <t>260.8</t>
  </si>
  <si>
    <t>25.5</t>
  </si>
  <si>
    <t>8.6</t>
  </si>
  <si>
    <t>Масса напл. металла, кг/ Weld metal weight, kg: 0.9</t>
  </si>
  <si>
    <t>1169</t>
  </si>
  <si>
    <t>Общий вес кг/ Total weight  kg: 295.8</t>
  </si>
  <si>
    <t>294.9</t>
  </si>
  <si>
    <t>079322C-AWP1B-200-CS-KMD-04400-M-1570</t>
  </si>
  <si>
    <t>295.8</t>
  </si>
  <si>
    <t>2406-KMD-1570</t>
  </si>
  <si>
    <t>32474</t>
  </si>
  <si>
    <t>100117</t>
  </si>
  <si>
    <t>100119</t>
  </si>
  <si>
    <t>100121</t>
  </si>
  <si>
    <t>100775</t>
  </si>
  <si>
    <t>3468</t>
  </si>
  <si>
    <t>3384</t>
  </si>
  <si>
    <t>102</t>
  </si>
  <si>
    <t>100116</t>
  </si>
  <si>
    <t>100118</t>
  </si>
  <si>
    <t>100120</t>
  </si>
  <si>
    <t>100768</t>
  </si>
  <si>
    <t>1167</t>
  </si>
  <si>
    <t>1082</t>
  </si>
  <si>
    <t>101</t>
  </si>
  <si>
    <t>М 1:20</t>
  </si>
  <si>
    <t>2406-KMD-Detail-19937</t>
  </si>
  <si>
    <t>_x000C_1</t>
  </si>
  <si>
    <t>3473</t>
  </si>
  <si>
    <t>86</t>
  </si>
  <si>
    <t>18°</t>
  </si>
  <si>
    <t>32</t>
  </si>
  <si>
    <t>5 - 5</t>
  </si>
  <si>
    <t>1 2 °</t>
  </si>
  <si>
    <t>2406-KMD-Detail-20391</t>
  </si>
  <si>
    <t>_x000C_10</t>
  </si>
  <si>
    <t>1173</t>
  </si>
  <si>
    <t>12°</t>
  </si>
  <si>
    <t>2406-KMD-Detail-20396</t>
  </si>
  <si>
    <t>2406-KMD-Detail-20713</t>
  </si>
  <si>
    <t>2406-KMD-Detail-20827</t>
  </si>
  <si>
    <t>5 7</t>
  </si>
  <si>
    <t>20472</t>
  </si>
  <si>
    <t>100357C</t>
  </si>
  <si>
    <t>100866C</t>
  </si>
  <si>
    <t>21254</t>
  </si>
  <si>
    <t>20030</t>
  </si>
  <si>
    <t>21529</t>
  </si>
  <si>
    <t>FLP.2P1.PL-12A/8</t>
  </si>
  <si>
    <t>20474</t>
  </si>
  <si>
    <t>100363C</t>
  </si>
  <si>
    <t>100360C</t>
  </si>
  <si>
    <t>100361C</t>
  </si>
  <si>
    <t>100362C</t>
  </si>
  <si>
    <t>20473</t>
  </si>
  <si>
    <t>21527</t>
  </si>
  <si>
    <t>3390</t>
  </si>
  <si>
    <t>1705.</t>
  </si>
  <si>
    <t>7 5</t>
  </si>
  <si>
    <t>100867C</t>
  </si>
  <si>
    <t>100358C</t>
  </si>
  <si>
    <t>4 1</t>
  </si>
  <si>
    <t>100865C</t>
  </si>
  <si>
    <t>100356C</t>
  </si>
  <si>
    <t>- 12x2090</t>
  </si>
  <si>
    <t>- 6x21</t>
  </si>
  <si>
    <t>2070</t>
  </si>
  <si>
    <t>2068</t>
  </si>
  <si>
    <t>663.6</t>
  </si>
  <si>
    <t>15.2</t>
  </si>
  <si>
    <t>Масса напл. металла, кг/ Weld metal weight, kg: 0.8</t>
  </si>
  <si>
    <t>694.4</t>
  </si>
  <si>
    <t>Общий вес кг/ Total weight  kg: 695.2</t>
  </si>
  <si>
    <t>IS100012</t>
  </si>
  <si>
    <t>079322C-AWP1B-200-CS-KMD-04400-M-1628</t>
  </si>
  <si>
    <t>695.2</t>
  </si>
  <si>
    <t>2406-KMD-1628-0</t>
  </si>
  <si>
    <t>Secondary Structure FLP.2P1.PL-12A/8</t>
  </si>
  <si>
    <t>Bторичная структура FLP.2P1.PL-12A/8</t>
  </si>
  <si>
    <t>Format / Формат: A1</t>
  </si>
  <si>
    <t>100356</t>
  </si>
  <si>
    <t>100358</t>
  </si>
  <si>
    <t>100360</t>
  </si>
  <si>
    <t>100362</t>
  </si>
  <si>
    <t>100865</t>
  </si>
  <si>
    <t>100867</t>
  </si>
  <si>
    <t>100357</t>
  </si>
  <si>
    <t>100359</t>
  </si>
  <si>
    <t>100361</t>
  </si>
  <si>
    <t>100363</t>
  </si>
  <si>
    <t>100866</t>
  </si>
  <si>
    <t>100868</t>
  </si>
  <si>
    <t xml:space="preserve"> фаска/</t>
  </si>
  <si>
    <t>сhamfer</t>
  </si>
  <si>
    <t>3201</t>
  </si>
  <si>
    <t>1:2</t>
  </si>
  <si>
    <t>95</t>
  </si>
  <si>
    <t>2406-KMD-Detail-20030</t>
  </si>
  <si>
    <t>Secondary Structure / Bòîðè÷íàÿ ñòðóêòóðà FLP.2P1.PL-12A/8</t>
  </si>
  <si>
    <t>2406-KMD-Detail-20472</t>
  </si>
  <si>
    <t>2406-KMD-Detail-20473</t>
  </si>
  <si>
    <t>2406-KMD-Detail-20474</t>
  </si>
  <si>
    <t>14°</t>
  </si>
  <si>
    <t>27</t>
  </si>
  <si>
    <t>2406-KMD-Detail-21254</t>
  </si>
  <si>
    <t>2406-KMD-Detail-21527</t>
  </si>
  <si>
    <t>2406-KMD-Detail-21529</t>
  </si>
  <si>
    <t>FLP.2P1.PL-12A/14</t>
  </si>
  <si>
    <t>20036</t>
  </si>
  <si>
    <t>- 12x615</t>
  </si>
  <si>
    <t>93.3</t>
  </si>
  <si>
    <t>Масса напл. металла, кг/ Weld metal weight, kg: 0.0</t>
  </si>
  <si>
    <t>1610</t>
  </si>
  <si>
    <t>Общий вес кг/ Total weight  kg: 93.3</t>
  </si>
  <si>
    <t>079322C-AWP1B-200-CS-KMD-04400-M-1631</t>
  </si>
  <si>
    <t>2406-KMD-1631</t>
  </si>
  <si>
    <t>615</t>
  </si>
  <si>
    <t>2406-KMD-Detail-20036</t>
  </si>
  <si>
    <t>FLP.2P1.PL-12A/20</t>
  </si>
  <si>
    <t>36429</t>
  </si>
  <si>
    <t>100368C</t>
  </si>
  <si>
    <t>20466</t>
  </si>
  <si>
    <t>100369C</t>
  </si>
  <si>
    <t>1414</t>
  </si>
  <si>
    <t>1435</t>
  </si>
  <si>
    <t>20042</t>
  </si>
  <si>
    <t>+133.500</t>
  </si>
  <si>
    <t>21240</t>
  </si>
  <si>
    <t>100367</t>
  </si>
  <si>
    <t>100369</t>
  </si>
  <si>
    <t>116602</t>
  </si>
  <si>
    <t>100368</t>
  </si>
  <si>
    <t>100856</t>
  </si>
  <si>
    <t>116603</t>
  </si>
  <si>
    <t>89</t>
  </si>
  <si>
    <t>100367C</t>
  </si>
  <si>
    <t>100856C</t>
  </si>
  <si>
    <t>6 4</t>
  </si>
  <si>
    <t>116603C</t>
  </si>
  <si>
    <t>116602C</t>
  </si>
  <si>
    <t>- 12x1435</t>
  </si>
  <si>
    <t>3290</t>
  </si>
  <si>
    <t>444.7</t>
  </si>
  <si>
    <t>10.4</t>
  </si>
  <si>
    <t>Масса напл. металла, (кг)/ Weld metal weight, (kg):</t>
  </si>
  <si>
    <t>Вес МТО (кг) / MTO Weight (kg):</t>
  </si>
  <si>
    <t>455.1</t>
  </si>
  <si>
    <t>Общий вес (кг)/ Total weight  (kg):</t>
  </si>
  <si>
    <t>079322C-AWP1B-200-CS-KMD-04400-M-1636</t>
  </si>
  <si>
    <t>455.3</t>
  </si>
  <si>
    <t>2406-KMD-1636-0</t>
  </si>
  <si>
    <t>Secondary Structure FLP.2P1.PL-12A/20</t>
  </si>
  <si>
    <t>Bторичная структура FLP.2P1.PL-12A/20</t>
  </si>
  <si>
    <t>2406-KMD-Detail-20042</t>
  </si>
  <si>
    <t>Secondary Structure / Bòîðè÷íàÿ ñòðóêòóðà FLP.2P1.PL-12A/20</t>
  </si>
  <si>
    <t>2406-KMD-Detail-20466</t>
  </si>
  <si>
    <t>2406-KMD-Detail-21240</t>
  </si>
  <si>
    <t>2406-KMD-Detail-36429</t>
  </si>
  <si>
    <t>FLP.2P1.PL-12A/29</t>
  </si>
  <si>
    <t>20041</t>
  </si>
  <si>
    <t>13796</t>
  </si>
  <si>
    <t>13799</t>
  </si>
  <si>
    <t>20051</t>
  </si>
  <si>
    <t>20371</t>
  </si>
  <si>
    <t>20475</t>
  </si>
  <si>
    <t>21533</t>
  </si>
  <si>
    <t>- 12x2125</t>
  </si>
  <si>
    <t>- 6x20</t>
  </si>
  <si>
    <t>- 12x172</t>
  </si>
  <si>
    <t>3635</t>
  </si>
  <si>
    <t>73</t>
  </si>
  <si>
    <t>319</t>
  </si>
  <si>
    <t>692</t>
  </si>
  <si>
    <t>705.0</t>
  </si>
  <si>
    <t>5.1</t>
  </si>
  <si>
    <t>720.7</t>
  </si>
  <si>
    <t>721.0</t>
  </si>
  <si>
    <t>079322C-AWP1B-200-CS-KMD-04400-M-1641</t>
  </si>
  <si>
    <t>721.2</t>
  </si>
  <si>
    <t>26</t>
  </si>
  <si>
    <t>100869C</t>
  </si>
  <si>
    <t>100366C</t>
  </si>
  <si>
    <t>+</t>
  </si>
  <si>
    <t>90</t>
  </si>
  <si>
    <t>101747C</t>
  </si>
  <si>
    <t>101746C</t>
  </si>
  <si>
    <t>407</t>
  </si>
  <si>
    <t>2035</t>
  </si>
  <si>
    <t>940</t>
  </si>
  <si>
    <t>694</t>
  </si>
  <si>
    <t>480</t>
  </si>
  <si>
    <t>280</t>
  </si>
  <si>
    <t>100364 C</t>
  </si>
  <si>
    <t>R 390</t>
  </si>
  <si>
    <t>100365C</t>
  </si>
  <si>
    <t>53394E</t>
  </si>
  <si>
    <t>53390E</t>
  </si>
  <si>
    <t>185</t>
  </si>
  <si>
    <t>745</t>
  </si>
  <si>
    <t>900000C</t>
  </si>
  <si>
    <t>32464 B</t>
  </si>
  <si>
    <t>53373B</t>
  </si>
  <si>
    <t>53193B</t>
  </si>
  <si>
    <t>91.5</t>
  </si>
  <si>
    <t>32464</t>
  </si>
  <si>
    <t>53373</t>
  </si>
  <si>
    <t>53394</t>
  </si>
  <si>
    <t>100365</t>
  </si>
  <si>
    <t>100869</t>
  </si>
  <si>
    <t>101747</t>
  </si>
  <si>
    <t>T072</t>
  </si>
  <si>
    <t>T012</t>
  </si>
  <si>
    <t>T001</t>
  </si>
  <si>
    <t>DF</t>
  </si>
  <si>
    <t>172</t>
  </si>
  <si>
    <t>324</t>
  </si>
  <si>
    <t>691</t>
  </si>
  <si>
    <t>11.0</t>
  </si>
  <si>
    <t>9.0</t>
  </si>
  <si>
    <t>53193</t>
  </si>
  <si>
    <t>53390</t>
  </si>
  <si>
    <t>100364</t>
  </si>
  <si>
    <t>100366</t>
  </si>
  <si>
    <t>101746</t>
  </si>
  <si>
    <t>900000</t>
  </si>
  <si>
    <t>610</t>
  </si>
  <si>
    <t>94</t>
  </si>
  <si>
    <t>2406-KMD-1641-0</t>
  </si>
  <si>
    <t>Secondary Structure FLP.2P1.PL-12A/29</t>
  </si>
  <si>
    <t>Bторичная структура FLP.2P1.PL-12A/29</t>
  </si>
  <si>
    <t>2 0 °</t>
  </si>
  <si>
    <t>2406-KMD-Detail-13796</t>
  </si>
  <si>
    <t>Secondary Structure / Bòîðè÷íàÿ ñòðóêòóðà FLP.2P1.PL-12A/29</t>
  </si>
  <si>
    <t>2406-KMD-Detail-13799</t>
  </si>
  <si>
    <t>_x000C_374</t>
  </si>
  <si>
    <t>3012</t>
  </si>
  <si>
    <t>R 39</t>
  </si>
  <si>
    <t>R 3</t>
  </si>
  <si>
    <t>R 36</t>
  </si>
  <si>
    <t>200</t>
  </si>
  <si>
    <t>2406-KMD-Detail-20041</t>
  </si>
  <si>
    <t>_x000C_4</t>
  </si>
  <si>
    <t xml:space="preserve"> o</t>
  </si>
  <si>
    <t>(п</t>
  </si>
  <si>
    <t>о R</t>
  </si>
  <si>
    <t>=</t>
  </si>
  <si>
    <t>n R</t>
  </si>
  <si>
    <t>0)</t>
  </si>
  <si>
    <t>R 30</t>
  </si>
  <si>
    <t>47</t>
  </si>
  <si>
    <t>(по R=30)</t>
  </si>
  <si>
    <t xml:space="preserve"> on R=30</t>
  </si>
  <si>
    <t>30°</t>
  </si>
  <si>
    <t>3 0 °</t>
  </si>
  <si>
    <t>1:5</t>
  </si>
  <si>
    <t>56</t>
  </si>
  <si>
    <t>R 24</t>
  </si>
  <si>
    <t xml:space="preserve">R </t>
  </si>
  <si>
    <t>92</t>
  </si>
  <si>
    <t>79.5</t>
  </si>
  <si>
    <t>160</t>
  </si>
  <si>
    <t>2406-KMD-Detail-20051</t>
  </si>
  <si>
    <t>_x000C_A</t>
  </si>
  <si>
    <t>Линия гиба</t>
  </si>
  <si>
    <t>bending line</t>
  </si>
  <si>
    <t>2406-KMD-Detail-20371</t>
  </si>
  <si>
    <t>20°</t>
  </si>
  <si>
    <t>2406-KMD-Detail-20475</t>
  </si>
  <si>
    <t>2406-KMD-Detail-21533</t>
  </si>
  <si>
    <t>FLP.2P1.PL-10A/119</t>
  </si>
  <si>
    <t>2030</t>
  </si>
  <si>
    <t>19840</t>
  </si>
  <si>
    <t>21028</t>
  </si>
  <si>
    <t>13582</t>
  </si>
  <si>
    <t>13586</t>
  </si>
  <si>
    <t>20464</t>
  </si>
  <si>
    <t>- 10x1840</t>
  </si>
  <si>
    <t>1656</t>
  </si>
  <si>
    <t>293.2</t>
  </si>
  <si>
    <t>12.2</t>
  </si>
  <si>
    <t>Общий вес кг/ Total weight  kg: 306.5</t>
  </si>
  <si>
    <t>Масса напл. металла, кг/ Weld metal weight, kg: 0.3</t>
  </si>
  <si>
    <t>306.2</t>
  </si>
  <si>
    <t>079322C-AWP1B-200-CS-KMD-04400-M-1758</t>
  </si>
  <si>
    <t>306.5</t>
  </si>
  <si>
    <t>2406-KMD-1758-0</t>
  </si>
  <si>
    <t>Secondary Structure FLP.2P1.PL-10A/119</t>
  </si>
  <si>
    <t>Bторичная структура FLP.2P1.PL-10A/119</t>
  </si>
  <si>
    <t>5 4</t>
  </si>
  <si>
    <t>100089C</t>
  </si>
  <si>
    <t>100854C</t>
  </si>
  <si>
    <t>101713 C</t>
  </si>
  <si>
    <t>101716C</t>
  </si>
  <si>
    <t>100090C</t>
  </si>
  <si>
    <t>100091C</t>
  </si>
  <si>
    <t>32463 B</t>
  </si>
  <si>
    <t>6 5</t>
  </si>
  <si>
    <t>101714C</t>
  </si>
  <si>
    <t>32463</t>
  </si>
  <si>
    <t>100090</t>
  </si>
  <si>
    <t>100854</t>
  </si>
  <si>
    <t>101714</t>
  </si>
  <si>
    <t>1655</t>
  </si>
  <si>
    <t>100089</t>
  </si>
  <si>
    <t>100091</t>
  </si>
  <si>
    <t>101713</t>
  </si>
  <si>
    <t>101716</t>
  </si>
  <si>
    <t>1574</t>
  </si>
  <si>
    <t>96</t>
  </si>
  <si>
    <t>1 9 °</t>
  </si>
  <si>
    <t>2406-KMD-Detail-13582</t>
  </si>
  <si>
    <t>Secondary Structure / Bòîðè÷íàÿ ñòðóêòóðà FLP.2P1.PL-10A/119</t>
  </si>
  <si>
    <t>67</t>
  </si>
  <si>
    <t>2406-KMD-Detail-13586</t>
  </si>
  <si>
    <t>2406-KMD-Detail-19840</t>
  </si>
  <si>
    <t>1 7 °</t>
  </si>
  <si>
    <t>47°</t>
  </si>
  <si>
    <t>2406-KMD-Detail-20464</t>
  </si>
  <si>
    <t>2406-KMD-Detail-21028</t>
  </si>
  <si>
    <t>OP.2P1.SST-0001.2</t>
  </si>
  <si>
    <t>8 . 5</t>
  </si>
  <si>
    <t>10113</t>
  </si>
  <si>
    <t>1148.5</t>
  </si>
  <si>
    <t>1.Работать совместно с 3000-D-EC-000-MC-SPE-0053-00_02C; 3000-D-EC-000-MC-SPE-0052-00_02C</t>
  </si>
  <si>
    <t>1.Work together with 3000-D-EC-000-MC-SPE-0053-00_02C; 3000-D-EC-000-MC-SPE-0052-00_02C</t>
  </si>
  <si>
    <t>44848</t>
  </si>
  <si>
    <t>T020</t>
  </si>
  <si>
    <t>TKY-C</t>
  </si>
  <si>
    <t>BEVEL TYPE</t>
  </si>
  <si>
    <t>Длинна мм</t>
  </si>
  <si>
    <t>LENGTH  mm</t>
  </si>
  <si>
    <t>730</t>
  </si>
  <si>
    <t>OP.2P1.SST-0001/2</t>
  </si>
  <si>
    <t>10115</t>
  </si>
  <si>
    <t>OD219.000x8.000</t>
  </si>
  <si>
    <t>OD168.000x8.000</t>
  </si>
  <si>
    <t>66.6</t>
  </si>
  <si>
    <t>58.2</t>
  </si>
  <si>
    <t>Масса напл. металла, кг/ Weld metal weight, kg: 0.2</t>
  </si>
  <si>
    <t>1600</t>
  </si>
  <si>
    <t>1844</t>
  </si>
  <si>
    <t>C345-6</t>
  </si>
  <si>
    <t>Общий вес кг/ Total weight  kg: 125.0</t>
  </si>
  <si>
    <t>IS2012198</t>
  </si>
  <si>
    <t>IS2011688</t>
  </si>
  <si>
    <t>3622.03.02</t>
  </si>
  <si>
    <t>124.8</t>
  </si>
  <si>
    <t>AS.2P1/1</t>
  </si>
  <si>
    <t>BL.2P1/1</t>
  </si>
  <si>
    <t>079322C-AWP1B-200-CS-KMD-04400-AS-025</t>
  </si>
  <si>
    <t>079322C-AWP1B-200-CS-KMD-04400-BL-013</t>
  </si>
  <si>
    <t>079322C-AWP1B-200-CS-KMD-04400-M-5302</t>
  </si>
  <si>
    <t>125.0</t>
  </si>
  <si>
    <t>109.5</t>
  </si>
  <si>
    <t>44848 B</t>
  </si>
  <si>
    <t>Deck A - Plan at El. +109.500  T.O.S.</t>
  </si>
  <si>
    <t>2401-KMD-5302</t>
  </si>
  <si>
    <t>22.02.2021</t>
  </si>
  <si>
    <t>IFC – Issued for Construction / Выпущено для строительства</t>
  </si>
  <si>
    <t>Pipe Support OP.2P1.SST-0001/2</t>
  </si>
  <si>
    <t>Трубная Опора OP.2P1.SST-0001/2</t>
  </si>
  <si>
    <t>_x000C_Список материалов/Material list</t>
  </si>
  <si>
    <t>Наименование детали/</t>
  </si>
  <si>
    <t>Pipe Support</t>
  </si>
  <si>
    <t>Длина, мм/</t>
  </si>
  <si>
    <t>Mасса, кг/Unit Weight, kg</t>
  </si>
  <si>
    <t>шт./pcs</t>
  </si>
  <si>
    <t>№ поз./</t>
  </si>
  <si>
    <t>M 1:8</t>
  </si>
  <si>
    <t>сн.ф. с торца вкруговую под 45°</t>
  </si>
  <si>
    <t>45° bevel at the edge</t>
  </si>
  <si>
    <t>2401-KMD-Detail-10113</t>
  </si>
  <si>
    <t>Pipe Support OP.2P1.SST-0001/2 / Трубная Опора OP.2P1.SST-0001/2</t>
  </si>
  <si>
    <t>Номер документа субподрядчика:/Subcontractor Document No.:</t>
  </si>
  <si>
    <t>Format / Формат A4</t>
  </si>
  <si>
    <t>Rev. Upd.No.Sheet Doc.No Sign. Date</t>
  </si>
  <si>
    <t>Изм. Кол.уч. Лист №док. Подпись Дата</t>
  </si>
  <si>
    <t>213</t>
  </si>
  <si>
    <t>38.3°</t>
  </si>
  <si>
    <t>66</t>
  </si>
  <si>
    <t>1734</t>
  </si>
  <si>
    <t>2401-KMD-Detail-10115</t>
  </si>
  <si>
    <t>10118</t>
  </si>
  <si>
    <t>44860 C</t>
  </si>
  <si>
    <t>1790.</t>
  </si>
  <si>
    <t>44553 B</t>
  </si>
  <si>
    <t>10007</t>
  </si>
  <si>
    <t>M 1:6</t>
  </si>
  <si>
    <t>10120</t>
  </si>
  <si>
    <t>10117</t>
  </si>
  <si>
    <t>10119</t>
  </si>
  <si>
    <t>OP.2P1.SST-0009.1</t>
  </si>
  <si>
    <t>1162</t>
  </si>
  <si>
    <t>1176</t>
  </si>
  <si>
    <t>44552 B</t>
  </si>
  <si>
    <t>10121</t>
  </si>
  <si>
    <t>10122</t>
  </si>
  <si>
    <t>429</t>
  </si>
  <si>
    <t>131</t>
  </si>
  <si>
    <t>119</t>
  </si>
  <si>
    <t>575</t>
  </si>
  <si>
    <t>+109.500</t>
  </si>
  <si>
    <t>44552</t>
  </si>
  <si>
    <t>44554</t>
  </si>
  <si>
    <t>44556</t>
  </si>
  <si>
    <t>44856</t>
  </si>
  <si>
    <t>44858</t>
  </si>
  <si>
    <t>44860</t>
  </si>
  <si>
    <t>T019</t>
  </si>
  <si>
    <t>T051</t>
  </si>
  <si>
    <t>1164</t>
  </si>
  <si>
    <t>303</t>
  </si>
  <si>
    <t>323</t>
  </si>
  <si>
    <t>44553</t>
  </si>
  <si>
    <t>44555</t>
  </si>
  <si>
    <t>44557</t>
  </si>
  <si>
    <t>44857</t>
  </si>
  <si>
    <t>44859</t>
  </si>
  <si>
    <t>250</t>
  </si>
  <si>
    <t>298</t>
  </si>
  <si>
    <t>OP.2P1.SST-0009/1</t>
  </si>
  <si>
    <t>34.0</t>
  </si>
  <si>
    <t>- 15x250</t>
  </si>
  <si>
    <t>35.2</t>
  </si>
  <si>
    <t>- 12x331</t>
  </si>
  <si>
    <t>8.2</t>
  </si>
  <si>
    <t>- 12x250</t>
  </si>
  <si>
    <t>3.4</t>
  </si>
  <si>
    <t>- 12x109</t>
  </si>
  <si>
    <t>Масса напл. металла, кг/ Weld metal weight, kg: 2.5</t>
  </si>
  <si>
    <t>350</t>
  </si>
  <si>
    <t>335</t>
  </si>
  <si>
    <t>Общий вес кг/ Total weight  kg: 93.5</t>
  </si>
  <si>
    <t>IS100015</t>
  </si>
  <si>
    <t>91.0</t>
  </si>
  <si>
    <t>079322C-AWP1B-200-CS-KMD-04400-M-6010</t>
  </si>
  <si>
    <t>93.5</t>
  </si>
  <si>
    <t>44554 C</t>
  </si>
  <si>
    <t>44856 C</t>
  </si>
  <si>
    <t>44857 C</t>
  </si>
  <si>
    <t>44555 C</t>
  </si>
  <si>
    <t>44556 C</t>
  </si>
  <si>
    <t>44858 C</t>
  </si>
  <si>
    <t>44557 C</t>
  </si>
  <si>
    <t>44859 C</t>
  </si>
  <si>
    <t>2401-KMD-6010</t>
  </si>
  <si>
    <t>Pipe Support OP.2P1.SST-0009/1</t>
  </si>
  <si>
    <t>Трубная Опора OP.2P1.SST-0009/1</t>
  </si>
  <si>
    <t>2401-KMD-Detail-10007</t>
  </si>
  <si>
    <t>Pipe Support OP.2P1.SST-0009/1 / Трубная Опора OP.2P1.SST-0009/1</t>
  </si>
  <si>
    <t>2401-KMD-Detail-10117</t>
  </si>
  <si>
    <t>2401-KMD-Detail-10118</t>
  </si>
  <si>
    <t>13</t>
  </si>
  <si>
    <t>109</t>
  </si>
  <si>
    <t>2 5</t>
  </si>
  <si>
    <t>2401-KMD-Detail-10119</t>
  </si>
  <si>
    <t>2401-KMD-Detail-10120</t>
  </si>
  <si>
    <t>2401-KMD-Detail-10121</t>
  </si>
  <si>
    <t>2401-KMD-Detail-10122</t>
  </si>
  <si>
    <t>OP.2P1.SST-0033.1</t>
  </si>
  <si>
    <t>175</t>
  </si>
  <si>
    <t>44779 B</t>
  </si>
  <si>
    <t>10056</t>
  </si>
  <si>
    <t>45147 B</t>
  </si>
  <si>
    <t>32°</t>
  </si>
  <si>
    <t>10471</t>
  </si>
  <si>
    <t>10472</t>
  </si>
  <si>
    <t>45146 B</t>
  </si>
  <si>
    <t>10470</t>
  </si>
  <si>
    <t>629</t>
  </si>
  <si>
    <t>779</t>
  </si>
  <si>
    <t>OP.2P1.SST-0033/1</t>
  </si>
  <si>
    <t>- 20x350</t>
  </si>
  <si>
    <t>OD219.000x13.000</t>
  </si>
  <si>
    <t>OD114.000x6.500</t>
  </si>
  <si>
    <t>18.9</t>
  </si>
  <si>
    <t>84.6</t>
  </si>
  <si>
    <t>20.1</t>
  </si>
  <si>
    <t>23.8</t>
  </si>
  <si>
    <t>Масса напл. металла, кг/ Weld metal weight, kg: 0.7</t>
  </si>
  <si>
    <t>1281</t>
  </si>
  <si>
    <t>1383</t>
  </si>
  <si>
    <t>Общий вес кг/ Total weight  kg: 148.1</t>
  </si>
  <si>
    <t>IS100020</t>
  </si>
  <si>
    <t>IS20121913</t>
  </si>
  <si>
    <t>IS2011147</t>
  </si>
  <si>
    <t>147.4</t>
  </si>
  <si>
    <t>079322C-AWP1B-200-CS-KMD-04400-M-6029</t>
  </si>
  <si>
    <t>148.1</t>
  </si>
  <si>
    <t>2401-KMD-6029</t>
  </si>
  <si>
    <t>65</t>
  </si>
  <si>
    <t>44779</t>
  </si>
  <si>
    <t>45147</t>
  </si>
  <si>
    <t>T022</t>
  </si>
  <si>
    <t>659</t>
  </si>
  <si>
    <t>535</t>
  </si>
  <si>
    <t>45146</t>
  </si>
  <si>
    <t>560</t>
  </si>
  <si>
    <t>Pipe Support OP.2P1.SST-0033/1</t>
  </si>
  <si>
    <t>Трубная Опора OP.2P1.SST-0033/1</t>
  </si>
  <si>
    <t>R 5</t>
  </si>
  <si>
    <t>2401-KMD-Detail-10056</t>
  </si>
  <si>
    <t>Pipe Support OP.2P1.SST-0033/1 / Трубная Опора OP.2P1.SST-0033/1</t>
  </si>
  <si>
    <t>2401-KMD-Detail-10470</t>
  </si>
  <si>
    <t>182</t>
  </si>
  <si>
    <t>1288</t>
  </si>
  <si>
    <t>1130</t>
  </si>
  <si>
    <t>2401-KMD-Detail-10472</t>
  </si>
  <si>
    <t>906</t>
  </si>
  <si>
    <t>198</t>
  </si>
  <si>
    <t>1070</t>
  </si>
  <si>
    <t>2401-KMD-Detail-10471</t>
  </si>
  <si>
    <t>Material list/Список материалов</t>
  </si>
  <si>
    <t>450</t>
  </si>
  <si>
    <t>3622.06.01</t>
  </si>
  <si>
    <t>WC.3P5.PL-8/065</t>
  </si>
  <si>
    <t>BL.3P5/003</t>
  </si>
  <si>
    <t>WP.3P5/002</t>
  </si>
  <si>
    <t>EB.3P5/001</t>
  </si>
  <si>
    <t>wc/112</t>
  </si>
  <si>
    <t>PL8x150</t>
  </si>
  <si>
    <t>C1</t>
  </si>
  <si>
    <t>DP30</t>
  </si>
  <si>
    <t>4.2</t>
  </si>
  <si>
    <t>0.14</t>
  </si>
  <si>
    <t>0.07</t>
  </si>
  <si>
    <t>10. The chamfer of the edges of temporary rat holes is not shown conditionally but it is mandatory</t>
  </si>
  <si>
    <t>3000-VLST-MTE-3BLM10-CA-DRW-17421-01</t>
  </si>
  <si>
    <t>3-BLM-010 External Wall Layout and Details for Deck A and Deck B</t>
  </si>
  <si>
    <t>STRUCTURAL DRW FOR MODULES-GENERAL STD FABRICATION IN RUSSIAN YARDS</t>
  </si>
  <si>
    <t>STRUCTURAL DRW FOR MODULES-STANDARD FOR SECONDARY STRUCTURE</t>
  </si>
  <si>
    <t>22.09.2021</t>
  </si>
  <si>
    <t>12.08.2021</t>
  </si>
  <si>
    <t>IFC-Issued for Construction/Выпущено для строительства</t>
  </si>
  <si>
    <t>P.Sipko</t>
  </si>
  <si>
    <t>D.Vasileva</t>
  </si>
  <si>
    <t>V.Leonov</t>
  </si>
  <si>
    <t>информация, которая предназначена для использования исключительно уполномоченными сотрудниками ООО «Арктик СПГ2» или уполномоченными компаниями. Авторские права на настоящий</t>
  </si>
  <si>
    <t>документ предоставляются ООО «Арктик СПГ2». Все права защищены. Каждый пользователь настоящего документа обязан проверять текущую редакцию перед применением.</t>
  </si>
  <si>
    <t>079322C-AWP1A-300-CS-KMD-17421-M-0136</t>
  </si>
  <si>
    <t>П.Сипко</t>
  </si>
  <si>
    <t>Д.Васильева</t>
  </si>
  <si>
    <t>Г.Максимов</t>
  </si>
  <si>
    <t>В.Леонов</t>
  </si>
  <si>
    <t>3-TMP-005-DB-1 Sub-Deck B.</t>
  </si>
  <si>
    <t>Details for fixing external walls BLM</t>
  </si>
  <si>
    <t xml:space="preserve">3-TMP-005-DB-1 Часть палубы B. </t>
  </si>
  <si>
    <t>Детали для крепления наружных стен BLM</t>
  </si>
  <si>
    <t>Mark WC.3P5.PL-8/065 /</t>
  </si>
  <si>
    <t>Отправочная марка WC.3P5.PL-8/065</t>
  </si>
  <si>
    <t>Р</t>
  </si>
  <si>
    <t>079322C-AWP1A-300-CS-KMD-02300-BL-003_03</t>
  </si>
  <si>
    <t>7450</t>
  </si>
  <si>
    <t>WC.3P5.PL-8/066</t>
  </si>
  <si>
    <t>wc/113</t>
  </si>
  <si>
    <t>70.2</t>
  </si>
  <si>
    <t>0.7</t>
  </si>
  <si>
    <t>70.9</t>
  </si>
  <si>
    <t>2.36</t>
  </si>
  <si>
    <t>2.65</t>
  </si>
  <si>
    <t>079322C-AWP1A-300-CS-KMD-17421-M-0135</t>
  </si>
  <si>
    <t>Mark WC.3P5.PL-8/066 /</t>
  </si>
  <si>
    <t>Отправочная марка WC.3P5.PL-8/066</t>
  </si>
  <si>
    <t>Material list / Список материалов</t>
  </si>
  <si>
    <t>dp48/1</t>
  </si>
  <si>
    <t>- 10x216</t>
  </si>
  <si>
    <t>Identcode</t>
  </si>
  <si>
    <t>Идентиф. номер</t>
  </si>
  <si>
    <t>3622.05.03</t>
  </si>
  <si>
    <t>MTO Weight for one position (kg)/МТО вес одной позиция (кг):</t>
  </si>
  <si>
    <t>Ext. Surf. Area for one position (Sqm)/Внеш. площ. пов-ти одной позиция(кв. м):</t>
  </si>
  <si>
    <t>DP48</t>
  </si>
  <si>
    <t>6470</t>
  </si>
  <si>
    <t>105.6</t>
  </si>
  <si>
    <t>2.86</t>
  </si>
  <si>
    <t>Вес</t>
  </si>
  <si>
    <t>Unit weight</t>
  </si>
  <si>
    <t>Unit ext. surf.,</t>
  </si>
  <si>
    <t>Weight</t>
  </si>
  <si>
    <t>area sq m</t>
  </si>
  <si>
    <t>Ед. вес</t>
  </si>
  <si>
    <t>Ед. внеш. площ.</t>
  </si>
  <si>
    <t>пов-ти, кв. м/</t>
  </si>
  <si>
    <t>MTO Weight (kg)/Вес МТО (кг):</t>
  </si>
  <si>
    <t>Ext. Surf. Area (Sqm)/Внеш. площ. пов-ти (кв. м):</t>
  </si>
  <si>
    <t>Quantity of positions/Количество позиция:</t>
  </si>
  <si>
    <t>Ext. surf.,</t>
  </si>
  <si>
    <t>Внеш. площ.</t>
  </si>
  <si>
    <t>18 hole for</t>
  </si>
  <si>
    <t>M 16 bolt grade 8.8 /</t>
  </si>
  <si>
    <t>18 отверстие для</t>
  </si>
  <si>
    <t>M 16 болта класс 8.8</t>
  </si>
  <si>
    <t>100</t>
  </si>
  <si>
    <t>6270</t>
  </si>
  <si>
    <t>KMD reference drawings/КМД ссылочные чертежи</t>
  </si>
  <si>
    <t>Mark/Марка</t>
  </si>
  <si>
    <t>Drawing number/Номер чертежа</t>
  </si>
  <si>
    <t>pcs./шт.</t>
  </si>
  <si>
    <t>MP.1R2.HMB-919/1</t>
  </si>
  <si>
    <t>079322C-GWP5B-100-CS-KMD-05120-M-0006_01</t>
  </si>
  <si>
    <t>General Notes:</t>
  </si>
  <si>
    <t>1. All dimensions are in milimeter, unless noted otherwise.</t>
  </si>
  <si>
    <t>2. All elevation levels are in meter, unless noted otherwise.</t>
  </si>
  <si>
    <t>3. CSP/PFP information can be found in 478RHI-T3P3M-PFP-DRW-00006.</t>
  </si>
  <si>
    <t>4. Work together with 3000-D-EC-000-MC-SPE-0053-00_03C; 3000-D-EC-000-MC-SPE-0052-00_03C</t>
  </si>
  <si>
    <t>5. Fabricate structures as per the terms of GOST 23118-2012.</t>
  </si>
  <si>
    <t>6. Place marking at a distance of 500 mm from the edge of an element.</t>
  </si>
  <si>
    <t>7. Punch a melt number on all details.</t>
  </si>
  <si>
    <t>8. Single part drawings are not going to be developed in case there is only one single part in the mark.</t>
  </si>
  <si>
    <t>9. Material grade given in specification is according to GOST 27772-2015.</t>
  </si>
  <si>
    <t>Общие примечания:</t>
  </si>
  <si>
    <t>1. Все размеры указаны в миллиметрах, если не указано иное</t>
  </si>
  <si>
    <t>2. Все высотные отметки в метрах, если не указано иное.</t>
  </si>
  <si>
    <t>3. Информацию по CSP/PFP можной найти в 478RHI-T3P3M-PFP-DRW-00006</t>
  </si>
  <si>
    <t>4 . Работать совместно с 3000-D-EC-000-MC-SPE-0053-00_03C; 3000-D-EC-000-MC-SPE-0052-00_03C</t>
  </si>
  <si>
    <t>5 . Изготовление конструкций производить в соответствии с требованиями ГОСТ 23118-2012.</t>
  </si>
  <si>
    <t>6 . Место маркировки располагать на расстоянии 500 мм от края элемента.</t>
  </si>
  <si>
    <t>7 . На всех деталях выбить номер плавки.</t>
  </si>
  <si>
    <t>8. Марка стали в спецификации дана в соостветствии с ГОСТ 27772-2015.</t>
  </si>
  <si>
    <t>9. Чертежи единичных деталей не будут разрабатываться по причине того, что во всей марке всего одна деталь.</t>
  </si>
  <si>
    <t>A.ARSLAN/А.АРСЛАН</t>
  </si>
  <si>
    <t>S.RIZVANOGLU/С.РЫЗВАНОГЛУ</t>
  </si>
  <si>
    <t>0512-KMD-Detail-dp48-1</t>
  </si>
  <si>
    <t>Drawing number / № чертежа</t>
  </si>
  <si>
    <t>3000-D-EC-100-CS-DRW-0512-01</t>
  </si>
  <si>
    <t>Рев.</t>
  </si>
  <si>
    <t>03C</t>
  </si>
  <si>
    <t>Reference KM Drawings / Ссылка на чертежи КМ</t>
  </si>
  <si>
    <t xml:space="preserve"> Drawing title / Имя чертежа</t>
  </si>
  <si>
    <t>General standards / Типовые узлы сварных соединений</t>
  </si>
  <si>
    <t>Standards for secondary structure / Конструкции металлические второстепенные</t>
  </si>
  <si>
    <t>Monorails and padeyes/Монорельсы и проушины</t>
  </si>
  <si>
    <t>Ред.</t>
  </si>
  <si>
    <t>31.08.2021</t>
  </si>
  <si>
    <t>IFR - Issued for Review / Выпущено для рассмотрения</t>
  </si>
  <si>
    <t>D . SAIKRISHNA</t>
  </si>
  <si>
    <t>G . PERUMAL</t>
  </si>
  <si>
    <t>P . GAYATHRI</t>
  </si>
  <si>
    <t>Description / Описание</t>
  </si>
  <si>
    <t>Изм. Кол.уч. Лист N°док Подпись Дата</t>
  </si>
  <si>
    <t>Д. САИКРИШНА</t>
  </si>
  <si>
    <t>Г. ПЕРУМАЛЬ</t>
  </si>
  <si>
    <t>П. Гаятри</t>
  </si>
  <si>
    <t>Н. контр.</t>
  </si>
  <si>
    <t>079322C-GWP5B-100-CS-KMD-05120-D-0001</t>
  </si>
  <si>
    <t>1-TMR-002 - Deck-A - Secondary Structure - Monorails-DP48</t>
  </si>
  <si>
    <t>1-TMR-002 - Ярус-A - Второстепенные конструкции - Монорельсы-DP48</t>
  </si>
  <si>
    <t>Single part - dp48/1</t>
  </si>
  <si>
    <t>Деталь - dp48/1</t>
  </si>
  <si>
    <t>dp48/18</t>
  </si>
  <si>
    <t>- 25x150</t>
  </si>
  <si>
    <t>IS100025</t>
  </si>
  <si>
    <t>7200</t>
  </si>
  <si>
    <t>211.9</t>
  </si>
  <si>
    <t>2.53</t>
  </si>
  <si>
    <t>MP.1R2.HMB-901B/1</t>
  </si>
  <si>
    <t>079322C-GWP5B-100-CS-KMD-05120-M-0004_01</t>
  </si>
  <si>
    <t>0512-KMD-Detail-dp48-18</t>
  </si>
  <si>
    <t>079322C-GWP5B-100-CS-KMD-05120-D-0018</t>
  </si>
  <si>
    <t>Single part - dp48/18</t>
  </si>
  <si>
    <t>Деталь - dp48/18</t>
  </si>
  <si>
    <t>Format / Формат: A3</t>
  </si>
  <si>
    <t>Position/</t>
  </si>
  <si>
    <t>Description/</t>
  </si>
  <si>
    <t>Oписание</t>
  </si>
  <si>
    <t>Material/</t>
  </si>
  <si>
    <t>Материал</t>
  </si>
  <si>
    <t>Ident code/</t>
  </si>
  <si>
    <t>op19/1</t>
  </si>
  <si>
    <t>DP19</t>
  </si>
  <si>
    <t>I-Section 20B1</t>
  </si>
  <si>
    <t>IS3062006</t>
  </si>
  <si>
    <t>item:/</t>
  </si>
  <si>
    <t>расценка:</t>
  </si>
  <si>
    <t>Total:/Итого:</t>
  </si>
  <si>
    <t>Qty./</t>
  </si>
  <si>
    <t>Кол-во</t>
  </si>
  <si>
    <t>mm/</t>
  </si>
  <si>
    <t>1189</t>
  </si>
  <si>
    <t>kg/</t>
  </si>
  <si>
    <t>кг</t>
  </si>
  <si>
    <t>25.3</t>
  </si>
  <si>
    <t>Sq m/</t>
  </si>
  <si>
    <t>кв. м</t>
  </si>
  <si>
    <t>0.82</t>
  </si>
  <si>
    <t>605</t>
  </si>
  <si>
    <t>48</t>
  </si>
  <si>
    <t>R 13</t>
  </si>
  <si>
    <t>Вид Сверху/ Top view</t>
  </si>
  <si>
    <t>по / as 5</t>
  </si>
  <si>
    <t>1094</t>
  </si>
  <si>
    <t>50</t>
  </si>
  <si>
    <t>1091</t>
  </si>
  <si>
    <t>ТРЕХМЕРНЫЙ ВИД/ISOMETRIC VIEW</t>
  </si>
  <si>
    <t>21</t>
  </si>
  <si>
    <t>NOTES:/ПРИМЕЧАНИЯ:</t>
  </si>
  <si>
    <t>079322C-KOC-3-TMS-005-SIS-CS-10002</t>
  </si>
  <si>
    <t>00</t>
  </si>
  <si>
    <t>STRUCTURAL DRAWINGS PIPE SUPPORTS  DECK A RUSSIAN CASE</t>
  </si>
  <si>
    <t>3-TMS-005 DECK A SECONDARY STRUCTURE MODIFICATION</t>
  </si>
  <si>
    <t>УЗЕЛ 5 - DETAIL 5</t>
  </si>
  <si>
    <t>in/в</t>
  </si>
  <si>
    <t>OP.3S5.SST-0002/154</t>
  </si>
  <si>
    <t>079322C-AWP1A-300-CS-KMD-06815-M-1106_01</t>
  </si>
  <si>
    <t>22.09.2021 IFC - Issued for Construction/Выпущено для строительства</t>
  </si>
  <si>
    <t>M.Novakovic</t>
  </si>
  <si>
    <t>079322C-AWP1A-300-CS-KMD-06815-D-0900</t>
  </si>
  <si>
    <t>М.Новакович</t>
  </si>
  <si>
    <t>3-TMS-005-DA Deck A. Pipe Supports /</t>
  </si>
  <si>
    <t>3-TMS-005-DA Палуба A. Опоры трубпроводов</t>
  </si>
  <si>
    <t>Single part op19/1 /</t>
  </si>
  <si>
    <t>Деталь op19/1</t>
  </si>
  <si>
    <t>MP.1LP.179-HMB-810A/1</t>
  </si>
  <si>
    <t>dp70/13</t>
  </si>
  <si>
    <t>dp70/11</t>
  </si>
  <si>
    <t>dp70/12</t>
  </si>
  <si>
    <t>- 20x230</t>
  </si>
  <si>
    <t>- 20x150</t>
  </si>
  <si>
    <t>- 10x310</t>
  </si>
  <si>
    <t>Weld metal weight for one mark, (kg)/Вес напл. металла одной марки, (кг):</t>
  </si>
  <si>
    <t>MTO Weight for one mark (kg)/МТО вес одной марки (кг):</t>
  </si>
  <si>
    <t>Total weight for one mark  (kg)/Общий вес одной марки (кг):</t>
  </si>
  <si>
    <t>Ext. Surf. Area for one mark (Sqm)/Внеш. площ. пов-ти одной марки(кв. м):</t>
  </si>
  <si>
    <t>Unit Weight</t>
  </si>
  <si>
    <t>2350</t>
  </si>
  <si>
    <t>60.2</t>
  </si>
  <si>
    <t>55.3</t>
  </si>
  <si>
    <t>57.2</t>
  </si>
  <si>
    <t>Weld metal weight, (kg)/Масса напл. металла, (кг):</t>
  </si>
  <si>
    <t>Total weight  (kg)/Общий вес (кг):</t>
  </si>
  <si>
    <t>Quantity of Marks/Количество марок:</t>
  </si>
  <si>
    <t>Area Sq m</t>
  </si>
  <si>
    <t>0.87</t>
  </si>
  <si>
    <t>0.81</t>
  </si>
  <si>
    <t>1.51</t>
  </si>
  <si>
    <t>1.8</t>
  </si>
  <si>
    <t>172.7</t>
  </si>
  <si>
    <t>174.5</t>
  </si>
  <si>
    <t>3.19</t>
  </si>
  <si>
    <t>Position 1</t>
  </si>
  <si>
    <t>Позиция 1</t>
  </si>
  <si>
    <t>Weld specification / Спецификация сварных швов</t>
  </si>
  <si>
    <t>Position 2</t>
  </si>
  <si>
    <t>Позиция 2</t>
  </si>
  <si>
    <t>Weld number</t>
  </si>
  <si>
    <t>Booklet number</t>
  </si>
  <si>
    <t>Номер буклета</t>
  </si>
  <si>
    <t>Number of welds for one mark</t>
  </si>
  <si>
    <t>Количество швов для одной марки</t>
  </si>
  <si>
    <t>13044</t>
  </si>
  <si>
    <t>13045</t>
  </si>
  <si>
    <t>Joint type</t>
  </si>
  <si>
    <t>Inspection class</t>
  </si>
  <si>
    <t>Класс контроля</t>
  </si>
  <si>
    <t>Total number of welds</t>
  </si>
  <si>
    <t>Общее количество сварных швов</t>
  </si>
  <si>
    <t>Length  mm</t>
  </si>
  <si>
    <t>Structure levels / Уровни структуры</t>
  </si>
  <si>
    <t>ABS / АБС</t>
  </si>
  <si>
    <t>Higher aggregation level  /</t>
  </si>
  <si>
    <t>Высокий уровень агрегации</t>
  </si>
  <si>
    <t>Sub-assembly / Подсборка</t>
  </si>
  <si>
    <t>Assembly / Сборка</t>
  </si>
  <si>
    <t>Block / Блок</t>
  </si>
  <si>
    <t>Work-pack / Рабочий пакет</t>
  </si>
  <si>
    <t>Erection block / Монтажный блок</t>
  </si>
  <si>
    <t>BL.1LP/1</t>
  </si>
  <si>
    <t>EB.1LP/1</t>
  </si>
  <si>
    <t>079322C-GWP5B-100-CS-KMD-00550-BL-004</t>
  </si>
  <si>
    <t>079322C-GWP5B-100-CS-KMD-00540-EB-001</t>
  </si>
  <si>
    <t>215</t>
  </si>
  <si>
    <t>1150</t>
  </si>
  <si>
    <t>+106.960 (TOS)</t>
  </si>
  <si>
    <t>2 отв.</t>
  </si>
  <si>
    <t>18 мм</t>
  </si>
  <si>
    <t>13045B</t>
  </si>
  <si>
    <t>13044B</t>
  </si>
  <si>
    <t>2150</t>
  </si>
  <si>
    <t>079322C-GWP5B-100-CS-KMD-00550-BL-004_01</t>
  </si>
  <si>
    <t>from/от</t>
  </si>
  <si>
    <t>079322C-GWP5B-100-CS-KMD-00550-D-2009_01</t>
  </si>
  <si>
    <t>079322C-GWP5B-100-CS-KMD-00550-D-2002_01</t>
  </si>
  <si>
    <t>079322C-GWP5B-100-CS-KMD-00550-D-2008_01</t>
  </si>
  <si>
    <t>Keyplan / Ситуационный план</t>
  </si>
  <si>
    <t>DECK-A Plan at El. +109.500 T.O.S. / Ярус-A План на отм. +109.500 T.O.S.</t>
  </si>
  <si>
    <t>Mark/Марка - MP.1LP.179-HMB-810A/1</t>
  </si>
  <si>
    <t>Mark orientation symbol /</t>
  </si>
  <si>
    <t>Символ ориентации отправочной марки</t>
  </si>
  <si>
    <t>Finish - Обработка</t>
  </si>
  <si>
    <t>Contour - Контур</t>
  </si>
  <si>
    <t>Angle - Угол</t>
  </si>
  <si>
    <t>Root opening - Зазор</t>
  </si>
  <si>
    <t>Type - Тип</t>
  </si>
  <si>
    <t>Size - Размер</t>
  </si>
  <si>
    <t>Workshop / Site</t>
  </si>
  <si>
    <t>Завод / Стройплощадка</t>
  </si>
  <si>
    <t xml:space="preserve">Edge / Around </t>
  </si>
  <si>
    <t>Незамкнутый / Замкнутый</t>
  </si>
  <si>
    <t>31</t>
  </si>
  <si>
    <t>3. After welding and inspection of the through welds, all the temporary ratholes shall be properly filled with weld</t>
  </si>
  <si>
    <t>and controlled by appropriate NDE according to document number 478RHI-MS-09-67.</t>
  </si>
  <si>
    <t>4. CSP/PFP information can be found in 478RHI-T3S1M-PFP-DRW-00003.</t>
  </si>
  <si>
    <t>5 . Work together with 3000-D-EC-000-MC-SPE-0053-00_03C; 3000-D-EC-000-MC-SPE-0052-00_03C</t>
  </si>
  <si>
    <t>6 . Fabricate structures as per the terms of GOST 23118-2012.</t>
  </si>
  <si>
    <t>7 . Place marking at a distance of 500 mm from the edge of an element.</t>
  </si>
  <si>
    <t>8 . Punch a melt number on all details.</t>
  </si>
  <si>
    <t>9 . For willet welds with T001 and T029 booklet numbers, root gap is not included in the leg length so the fitting gap is going</t>
  </si>
  <si>
    <t xml:space="preserve">to be included while welding process. For T051 and T052, root gap is included in the leg length, so the leg length </t>
  </si>
  <si>
    <t>should not be increased according to fitting gap.</t>
  </si>
  <si>
    <t>10. All parts should be welded to each other, all welds should be rounded. To perform</t>
  </si>
  <si>
    <t>welds, document number 478RHI-PR-02-04 with approved WPS welding process should be used</t>
  </si>
  <si>
    <t>11. Material grade given in specification is according to GOST 27772-2015.</t>
  </si>
  <si>
    <t>12. Control points and orientation marks are applied by using OGT technology.</t>
  </si>
  <si>
    <t>Orientation marks are going to be applied 1/4 length from the closure edge of the element.</t>
  </si>
  <si>
    <t>13. All welds are marked as per ISO 2553-2017</t>
  </si>
  <si>
    <t>14. Single part drawings are not going to be developed in case there is only one single part in the mark.</t>
  </si>
  <si>
    <t>15. Provide the geometric invariability of the structure during transportation to the site.</t>
  </si>
  <si>
    <t>16. Elements used for transportation, need to be cut or remove before installing the assembly in the design position.</t>
  </si>
  <si>
    <t>1. Все размеры указаны в миллиметрах, если не указано иное.</t>
  </si>
  <si>
    <t>3. После сварочных работ и проверки сквозных швов все временные выкружки должны быть</t>
  </si>
  <si>
    <t>должным образом заварены и проконтролированы соответствующим неразрушающим контролем согласно документу 478RHI-MS-09-67</t>
  </si>
  <si>
    <t>4. Информацию по CSP/PFP можной найти в 478RHI-T3S1M-PFP-DRW-00003</t>
  </si>
  <si>
    <t>5 . Работать совместно с 3000-D-EC-000-MC-SPE-0053-00_03C; 3000-D-EC-000-MC-SPE-0052-00_03C</t>
  </si>
  <si>
    <t>6 . Изготовление конструкций производить в соответствии с требованиями ГОСТ 23118-2012.</t>
  </si>
  <si>
    <t>7 . Место маркировки располагать на расстоянии 500 мм от края элемента.</t>
  </si>
  <si>
    <t>8 . На всех деталях выбить номер плавки.</t>
  </si>
  <si>
    <t>9 .Для угловых швов с номера буклета T001 и T029, зазор сварного шва не включен в величину катета, поэтому монтажный зазор</t>
  </si>
  <si>
    <t>будет включен во время сварочных работ. Для T051 и T052 зазор сварного шва уже включен в катет,</t>
  </si>
  <si>
    <t>10. Все детали должны быть сварены друг с другом, все швы должны быть скруглены. Для выполнения сварочных работ необходимо использовать</t>
  </si>
  <si>
    <t>документ 478RHI-PR-02-04 вместе с последовательностью выполнения сварочных работ в утвержденной сварочной спецификации</t>
  </si>
  <si>
    <t>11. Марка стали в спецификации дана в соостветствии с ГОСТ 27772-2015.</t>
  </si>
  <si>
    <t xml:space="preserve">12. Контрольные точки и маркировка ориентации выполняются согласно технологии ОГТ. </t>
  </si>
  <si>
    <t>Маркировка ориентации выполняется на расстоянияя 1/4 длины от ближайшего края конструкции.</t>
  </si>
  <si>
    <t>13. Все швы обозначены согласно ИСО 2553-2017</t>
  </si>
  <si>
    <t>14. Чертежи единичных деталей не будут разрабатываться по причине того, что во всей марке всего одна деталь.</t>
  </si>
  <si>
    <t>15. Обеспечить геометрическую неизменяемость конструкции при транспортировке на монтажную площадку.</t>
  </si>
  <si>
    <t>16. Элементы используемые для транспортировки, срезать или снять до установки сборки в проектное положение.</t>
  </si>
  <si>
    <t>3000-D-EC-100-CS-DRW-0055-01</t>
  </si>
  <si>
    <t>Secondary structure/Конструкции металлические второстепенные</t>
  </si>
  <si>
    <t>24.09.2021</t>
  </si>
  <si>
    <t>M</t>
  </si>
  <si>
    <t>Е. Мозолева/E. Mozoleva</t>
  </si>
  <si>
    <t>0 A</t>
  </si>
  <si>
    <t>Е. Malafeeva/ E. Малафеева</t>
  </si>
  <si>
    <t>A. Axelrod/ A. Аксельрод</t>
  </si>
  <si>
    <t>Е. Мозолева/E. Mozoleva 0M</t>
  </si>
  <si>
    <t>E. Malafeeva/ E. Малафеева</t>
  </si>
  <si>
    <t>079322C-GWP5B-100-CS-KMD-00550-M-0152</t>
  </si>
  <si>
    <t>1-TLP-001 - DECK-A - Secondary Structure - DP70</t>
  </si>
  <si>
    <t>1-TLP-001 - Ярус-A - Второстепенные конструкции - DP70</t>
  </si>
  <si>
    <t>Mark - MP.1LP.179-HMB-810A/1</t>
  </si>
  <si>
    <t>Марка - MP.1LP.179-HMB-810A/1</t>
  </si>
  <si>
    <t>09710-M-0011</t>
  </si>
  <si>
    <t>1-TMS-001 Secondary Structure A-1S1-PL-08B-8</t>
  </si>
  <si>
    <t>14/09/2021</t>
  </si>
  <si>
    <t>A2 ¤ A4</t>
  </si>
  <si>
    <t>1-TMS-001</t>
  </si>
  <si>
    <t>1-TMS-001 Bторичная Cтруктура A-1S1-PL-08B-8</t>
  </si>
  <si>
    <t>079322C-GWP5B-100-CS-KMD-09710-M-0011_01.pdf</t>
  </si>
  <si>
    <t>079322C-GWP5B-100-CS-KMD-09710-M-0016_01.pdf</t>
  </si>
  <si>
    <t>1-TMS-001 Secondary Structure A-1S1-PL-10B-4</t>
  </si>
  <si>
    <t>1-TMS-001 Bторичная Cтруктура A-1S1-PL-10B-4</t>
  </si>
  <si>
    <t>09710-M-0016</t>
  </si>
  <si>
    <t>A.1S1.PL-08B/8</t>
  </si>
  <si>
    <t>7700</t>
  </si>
  <si>
    <t>- 8x242</t>
  </si>
  <si>
    <t>3.8</t>
  </si>
  <si>
    <t>3622.02.02</t>
  </si>
  <si>
    <t>3.80</t>
  </si>
  <si>
    <t>EB.1S1/1</t>
  </si>
  <si>
    <t>079322C-GWP5B-100-CS-KMD-09710-EB-001</t>
  </si>
  <si>
    <t>079322C-GWP5B-100-CS-KMD-09710-M-0011</t>
  </si>
  <si>
    <t>M1:5</t>
  </si>
  <si>
    <t xml:space="preserve"> Key Plan / План</t>
  </si>
  <si>
    <t>GBS - Plan at El. +100.000 T.O.S</t>
  </si>
  <si>
    <t>09</t>
  </si>
  <si>
    <t>14.09.2021</t>
  </si>
  <si>
    <t>Secondary Structure A.1S1.PL-08B/8</t>
  </si>
  <si>
    <t>Bторичная структура A.1S1.PL-08B/8</t>
  </si>
  <si>
    <t>_x000C_5</t>
  </si>
  <si>
    <t>188</t>
  </si>
  <si>
    <t>Stair Tower</t>
  </si>
  <si>
    <t>1-1</t>
  </si>
  <si>
    <t>M1:1</t>
  </si>
  <si>
    <t>2-2</t>
  </si>
  <si>
    <t>KMD-Detail-7700</t>
  </si>
  <si>
    <t>Secondary Structure / Bòîðè÷íàÿ ñòðóêòóðà A.1S1.PL-08B/8</t>
  </si>
  <si>
    <t>File 23</t>
  </si>
  <si>
    <t>File 24</t>
  </si>
  <si>
    <t>A.1S1.PL-10B/4</t>
  </si>
  <si>
    <t>8001</t>
  </si>
  <si>
    <t>- 10x424</t>
  </si>
  <si>
    <t>1223</t>
  </si>
  <si>
    <t>38.4</t>
  </si>
  <si>
    <t>38.40</t>
  </si>
  <si>
    <t>079322C-GWP5B-100-CS-KMD-09710-M-0016</t>
  </si>
  <si>
    <t>424</t>
  </si>
  <si>
    <t>Secondary Structure A.1S1.PL-10B/4</t>
  </si>
  <si>
    <t>Bторичная структура A.1S1.PL-10B/4</t>
  </si>
  <si>
    <t>_x000C_123</t>
  </si>
  <si>
    <t>M1:10</t>
  </si>
  <si>
    <t>1066</t>
  </si>
  <si>
    <t>5-5</t>
  </si>
  <si>
    <t>3-3</t>
  </si>
  <si>
    <t>4-4</t>
  </si>
  <si>
    <t>KMD-Detail-8001</t>
  </si>
  <si>
    <t>Secondary Structure / Bòîðè÷íàÿ ñòðóêòóðà A.1S1.PL-10B/4</t>
  </si>
  <si>
    <t>09710-M-0023</t>
  </si>
  <si>
    <t>1-TMS-001 Secondary Structure A-1S1-PL-15B-8</t>
  </si>
  <si>
    <t>1-TMS-001 Bторичная Cтруктура A-1S1-PL-15B-8</t>
  </si>
  <si>
    <t>079322C-GWP5B-100-CS-KMD-09710-M-0023_01.pdf</t>
  </si>
  <si>
    <t>09710-M-0024</t>
  </si>
  <si>
    <t>1-TMS-001 Secondary Structure A-1S1-PL-15B-9</t>
  </si>
  <si>
    <t>1-TMS-001 Bторичная Cтруктура A-1S1-PL-15B-9</t>
  </si>
  <si>
    <t>079322C-GWP5B-100-CS-KMD-09710-M-0024_01.pdf</t>
  </si>
  <si>
    <t>09710-M-0048</t>
  </si>
  <si>
    <t>1-TMS-001 Secondary Structure A-1S1-SB-164B-3</t>
  </si>
  <si>
    <t>A2 ¤ A2</t>
  </si>
  <si>
    <t>1-TMS-001 Bторичная Cтруктура A-1S1-SB-164B-3</t>
  </si>
  <si>
    <t>079322C-GWP5B-100-CS-KMD-09710-M-0048_01.pdf</t>
  </si>
  <si>
    <t>09710-M-0049</t>
  </si>
  <si>
    <t>1-TMS-001 Secondary Structure A-1S1-SB-176B-1</t>
  </si>
  <si>
    <t>1-TMS-001 Bторичная Cтруктура A-1S1-SB-176B-1</t>
  </si>
  <si>
    <t>079322C-GWP5B-100-CS-KMD-09710-M-0049_01.pdf</t>
  </si>
  <si>
    <t>File 25</t>
  </si>
  <si>
    <t>File 26</t>
  </si>
  <si>
    <t>File 27</t>
  </si>
  <si>
    <t>File 28</t>
  </si>
  <si>
    <t>A.1S1.PL-15B/8</t>
  </si>
  <si>
    <t>8763</t>
  </si>
  <si>
    <t>- 15x298</t>
  </si>
  <si>
    <t>383</t>
  </si>
  <si>
    <t>12.3</t>
  </si>
  <si>
    <t>12.30</t>
  </si>
  <si>
    <t>079322C-GWP5B-100-CS-KMD-09710-M-0023</t>
  </si>
  <si>
    <t>Secondary Structure A.1S1.PL-15B/8</t>
  </si>
  <si>
    <t>Bторичная структура A.1S1.PL-15B/8</t>
  </si>
  <si>
    <t>257</t>
  </si>
  <si>
    <t>390</t>
  </si>
  <si>
    <t>KMD-Detail-8763</t>
  </si>
  <si>
    <t>Secondary Structure / Bòîðè÷íàÿ ñòðóêòóðà A.1S1.PL-15B/8</t>
  </si>
  <si>
    <t>A.1S1.PL-15B/9</t>
  </si>
  <si>
    <t>8764</t>
  </si>
  <si>
    <t>079322C-GWP5B-100-CS-KMD-09710-M-0024</t>
  </si>
  <si>
    <t>Secondary Structure A.1S1.PL-15B/9</t>
  </si>
  <si>
    <t>Bторичная структура A.1S1.PL-15B/9</t>
  </si>
  <si>
    <t>KMD-Detail-8764</t>
  </si>
  <si>
    <t>Secondary Structure / Bòîðè÷íàÿ ñòðóêòóðà A.1S1.PL-15B/9</t>
  </si>
  <si>
    <t>7594</t>
  </si>
  <si>
    <t>A.1S1.SB-176B/1</t>
  </si>
  <si>
    <t>1840</t>
  </si>
  <si>
    <t>25B1</t>
  </si>
  <si>
    <t>A.1S1.SB-164B/3</t>
  </si>
  <si>
    <t>7659</t>
  </si>
  <si>
    <t>20B1</t>
  </si>
  <si>
    <t>3190</t>
  </si>
  <si>
    <t>81.8</t>
  </si>
  <si>
    <t>81.80</t>
  </si>
  <si>
    <t>39.2</t>
  </si>
  <si>
    <t>39.20</t>
  </si>
  <si>
    <t>IS3002006 3622.02.02</t>
  </si>
  <si>
    <t>IS3002485</t>
  </si>
  <si>
    <t>079322C-GWP5B-100-CS-KMD-09710-M-0048</t>
  </si>
  <si>
    <t>079322C-GWP5B-100-CS-KMD-09710-M-0049</t>
  </si>
  <si>
    <t>Secondary Structure A.1S1.SB-176B/1</t>
  </si>
  <si>
    <t>Secondary Structure A.1S1.SB-164B/3</t>
  </si>
  <si>
    <t>Bторичная структура A.1S1.SB-176B/1</t>
  </si>
  <si>
    <t>Bторичная структура A.1S1.SB-164B/3</t>
  </si>
  <si>
    <t>_x000C_Фаска в зоне радиуса /</t>
  </si>
  <si>
    <t>Фаска в зоне радиуса /</t>
  </si>
  <si>
    <t>Chamfer at the area of radius</t>
  </si>
  <si>
    <t>63°</t>
  </si>
  <si>
    <t>6 3°</t>
  </si>
  <si>
    <t>срезать полку, зачистить заподлицо со</t>
  </si>
  <si>
    <t>стенкой/</t>
  </si>
  <si>
    <t>cut a flange, plane flush with the web at</t>
  </si>
  <si>
    <t>the area of its radius</t>
  </si>
  <si>
    <t>3059</t>
  </si>
  <si>
    <t>3014</t>
  </si>
  <si>
    <t>1696</t>
  </si>
  <si>
    <t>1654</t>
  </si>
  <si>
    <t>срезать полку, зачистить заподлицо со стенкой/</t>
  </si>
  <si>
    <t>cut a flange, plane flush with the web at the area of</t>
  </si>
  <si>
    <t>its radius</t>
  </si>
  <si>
    <t>84</t>
  </si>
  <si>
    <t>KMD-Detail-7594</t>
  </si>
  <si>
    <t>KMD-Detail-7659</t>
  </si>
  <si>
    <t>Secondary Structure / Bòîðè÷íàÿ ñòðóêòóðà A.1S1.SB-176B/1</t>
  </si>
  <si>
    <t>Secondary Structure / Bòîðè÷íàÿ ñòðóêòóðà A.1S1.SB-164B/3</t>
  </si>
  <si>
    <t>Format / Ôîðìàò A2</t>
  </si>
  <si>
    <t>1S1-DP56</t>
  </si>
  <si>
    <t>1LP-DP70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</si>
</sst>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FFFFFF"/>
      <name val="Calibri"/>
      <family val="2"/>
      <charset val="238"/>
      <scheme val="minor"/>
    </font>
    <font>
      <sz val="11"/>
      <name val="Calibri"/>
      <family val="2"/>
      <charset val="204"/>
      <scheme val="minor"/>
    </font>
    <font>
      <b/>
      <sz val="14"/>
      <color theme="0"/>
      <name val="Calibri"/>
      <family val="2"/>
      <charset val="238"/>
      <scheme val="minor"/>
    </font>
    <font>
      <sz val="2"/>
      <name val="Calibri"/>
      <family val="2"/>
      <charset val="204"/>
      <scheme val="minor"/>
    </font>
    <font>
      <sz val="11"/>
      <name val="Calibri"/>
      <family val="2"/>
      <charset val="238"/>
      <scheme val="minor"/>
    </font>
    <font>
      <sz val="10"/>
      <color theme="1"/>
      <name val="Arial"/>
      <family val="2"/>
    </font>
    <font>
      <sz val="11"/>
      <color rgb="FFFFFFFF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  <charset val="204"/>
    </font>
  </fonts>
  <fills count="4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DEBF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BFEF0"/>
        <bgColor indexed="64"/>
      </patternFill>
    </fill>
    <fill>
      <patternFill patternType="solid">
        <fgColor rgb="FF797979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rgb="FFB0F868"/>
        <bgColor indexed="64"/>
      </patternFill>
    </fill>
    <fill>
      <patternFill patternType="solid">
        <fgColor rgb="FFF48F6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B4FFB4"/>
        <bgColor indexed="64"/>
      </patternFill>
    </fill>
    <fill>
      <patternFill patternType="solid">
        <fgColor rgb="FFB4FFB4"/>
        <bgColor rgb="FFFFB482"/>
      </patternFill>
    </fill>
    <fill>
      <patternFill patternType="solid">
        <fgColor rgb="FFFFB482"/>
        <bgColor indexed="64"/>
      </patternFill>
    </fill>
    <fill>
      <patternFill patternType="solid">
        <fgColor rgb="FFFFB482"/>
        <bgColor rgb="FFFFB482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 style="medium">
        <color theme="2" tint="-0.499984740745262"/>
      </left>
      <right/>
      <top style="medium">
        <color theme="2" tint="-0.499984740745262"/>
      </top>
      <bottom/>
      <diagonal/>
    </border>
    <border>
      <left/>
      <right style="medium">
        <color theme="2" tint="-0.499984740745262"/>
      </right>
      <top style="medium">
        <color theme="2" tint="-0.499984740745262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 style="medium">
        <color theme="4" tint="-0.2499465926084170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9" fillId="0" borderId="0">
      <alignment horizontal="left" vertical="center"/>
    </xf>
  </cellStyleXfs>
  <cellXfs count="59">
    <xf numFmtId="0" fontId="0" fillId="0" borderId="0" xfId="0"/>
    <xf numFmtId="49" fontId="0" fillId="0" borderId="0" xfId="0" applyNumberFormat="1"/>
    <xf numFmtId="49" fontId="0" fillId="0" borderId="11" xfId="0" applyNumberFormat="1" applyBorder="1"/>
    <xf numFmtId="49" fontId="0" fillId="0" borderId="0" xfId="0" applyNumberFormat="1" applyFill="1"/>
    <xf numFmtId="49" fontId="0" fillId="0" borderId="11" xfId="0" applyNumberFormat="1" applyBorder="1" applyAlignment="1">
      <alignment horizontal="right"/>
    </xf>
    <xf numFmtId="49" fontId="0" fillId="34" borderId="11" xfId="0" applyNumberFormat="1" applyFill="1" applyBorder="1"/>
    <xf numFmtId="49" fontId="0" fillId="35" borderId="11" xfId="0" applyNumberFormat="1" applyFill="1" applyBorder="1"/>
    <xf numFmtId="49" fontId="19" fillId="33" borderId="10" xfId="0" applyNumberFormat="1" applyFont="1" applyFill="1" applyBorder="1" applyAlignment="1">
      <alignment horizontal="center" vertical="center" wrapText="1"/>
    </xf>
    <xf numFmtId="49" fontId="19" fillId="33" borderId="12" xfId="0" applyNumberFormat="1" applyFont="1" applyFill="1" applyBorder="1" applyAlignment="1">
      <alignment horizontal="center" vertical="center" wrapText="1"/>
    </xf>
    <xf numFmtId="49" fontId="20" fillId="0" borderId="0" xfId="0" applyNumberFormat="1" applyFont="1"/>
    <xf numFmtId="0" fontId="0" fillId="0" borderId="0" xfId="0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37" borderId="13" xfId="0" applyFill="1" applyBorder="1" applyAlignment="1">
      <alignment horizontal="center" vertical="center"/>
    </xf>
    <xf numFmtId="0" fontId="24" fillId="0" borderId="0" xfId="0" applyFont="1" applyFill="1" applyBorder="1" applyAlignment="1">
      <alignment horizontal="center" vertical="center"/>
    </xf>
    <xf numFmtId="0" fontId="0" fillId="0" borderId="0" xfId="0" applyProtection="1">
      <protection locked="0"/>
    </xf>
    <xf numFmtId="49" fontId="25" fillId="0" borderId="0" xfId="0" applyNumberFormat="1" applyFont="1" applyFill="1"/>
    <xf numFmtId="49" fontId="23" fillId="0" borderId="0" xfId="0" applyNumberFormat="1" applyFont="1" applyFill="1" applyBorder="1" applyAlignment="1">
      <alignment horizontal="center" vertical="center"/>
    </xf>
    <xf numFmtId="49" fontId="0" fillId="40" borderId="16" xfId="0" applyNumberFormat="1" applyFill="1" applyBorder="1" applyAlignment="1">
      <alignment horizontal="center" vertical="center" wrapText="1"/>
    </xf>
    <xf numFmtId="49" fontId="23" fillId="0" borderId="17" xfId="0" applyNumberFormat="1" applyFont="1" applyBorder="1" applyAlignment="1">
      <alignment horizontal="center" vertical="center"/>
    </xf>
    <xf numFmtId="49" fontId="0" fillId="41" borderId="16" xfId="0" applyNumberFormat="1" applyFill="1" applyBorder="1" applyAlignment="1">
      <alignment horizontal="center" vertical="center" wrapText="1"/>
    </xf>
    <xf numFmtId="0" fontId="21" fillId="36" borderId="15" xfId="0" applyFont="1" applyFill="1" applyBorder="1" applyAlignment="1">
      <alignment horizontal="center" vertical="center" wrapText="1"/>
    </xf>
    <xf numFmtId="0" fontId="21" fillId="36" borderId="19" xfId="0" applyFont="1" applyFill="1" applyBorder="1" applyAlignment="1">
      <alignment horizontal="center" vertical="center" wrapText="1"/>
    </xf>
    <xf numFmtId="0" fontId="21" fillId="36" borderId="18" xfId="0" applyFont="1" applyFill="1" applyBorder="1" applyAlignment="1">
      <alignment horizontal="center" vertical="center" wrapText="1"/>
    </xf>
    <xf numFmtId="0" fontId="22" fillId="39" borderId="20" xfId="0" applyFont="1" applyFill="1" applyBorder="1" applyAlignment="1">
      <alignment horizontal="center" vertical="center" wrapText="1"/>
    </xf>
    <xf numFmtId="0" fontId="24" fillId="38" borderId="0" xfId="0" applyFont="1" applyFill="1" applyProtection="1"/>
    <xf numFmtId="0" fontId="30" fillId="0" borderId="0" xfId="0" applyFont="1" applyProtection="1">
      <protection locked="0"/>
    </xf>
    <xf numFmtId="49" fontId="28" fillId="0" borderId="0" xfId="0" applyNumberFormat="1" applyFont="1" applyProtection="1">
      <protection locked="0"/>
    </xf>
    <xf numFmtId="49" fontId="20" fillId="0" borderId="0" xfId="0" applyNumberFormat="1" applyFont="1" applyProtection="1">
      <protection locked="0"/>
    </xf>
    <xf numFmtId="49" fontId="30" fillId="0" borderId="0" xfId="0" applyNumberFormat="1" applyFont="1" applyProtection="1">
      <protection locked="0"/>
    </xf>
    <xf numFmtId="49" fontId="0" fillId="0" borderId="0" xfId="0" applyNumberFormat="1" applyProtection="1">
      <protection locked="0"/>
    </xf>
    <xf numFmtId="0" fontId="31" fillId="0" borderId="0" xfId="0" applyFont="1" applyProtection="1">
      <protection locked="0"/>
    </xf>
    <xf numFmtId="0" fontId="0" fillId="37" borderId="0" xfId="0" applyFill="1" applyBorder="1" applyAlignment="1">
      <alignment horizontal="center" vertical="center"/>
    </xf>
    <xf numFmtId="0" fontId="0" fillId="37" borderId="0" xfId="0" applyFill="1" applyBorder="1" applyAlignment="1">
      <alignment horizontal="left" vertical="center"/>
    </xf>
    <xf numFmtId="0" fontId="32" fillId="42" borderId="21" xfId="0" applyFont="1" applyFill="1" applyBorder="1" applyAlignment="1">
      <alignment horizontal="center" vertical="center" wrapText="1"/>
    </xf>
    <xf numFmtId="49" fontId="32" fillId="42" borderId="21" xfId="0" applyNumberFormat="1" applyFont="1" applyFill="1" applyBorder="1" applyAlignment="1">
      <alignment horizontal="center" vertical="center" wrapText="1"/>
    </xf>
    <xf numFmtId="49" fontId="0" fillId="37" borderId="0" xfId="0" applyNumberFormat="1" applyFill="1" applyBorder="1" applyAlignment="1">
      <alignment horizontal="center" vertical="center"/>
    </xf>
    <xf numFmtId="0" fontId="20" fillId="0" borderId="0" xfId="0" applyFont="1"/>
    <xf numFmtId="0" fontId="0" fillId="0" borderId="0" xfId="0" applyBorder="1" applyAlignment="1">
      <alignment horizontal="center" vertical="center"/>
    </xf>
    <xf numFmtId="0" fontId="20" fillId="38" borderId="0" xfId="0" applyFont="1" applyFill="1" applyProtection="1"/>
    <xf numFmtId="0" fontId="20" fillId="0" borderId="0" xfId="0" applyFont="1" applyProtection="1">
      <protection locked="0"/>
    </xf>
    <xf numFmtId="0" fontId="0" fillId="37" borderId="0" xfId="0" applyNumberFormat="1" applyFill="1" applyBorder="1" applyAlignment="1">
      <alignment horizontal="center" vertical="center"/>
    </xf>
    <xf numFmtId="0" fontId="0" fillId="43" borderId="14" xfId="0" applyNumberFormat="1" applyFill="1" applyBorder="1" applyAlignment="1">
      <alignment horizontal="center" vertical="center"/>
    </xf>
    <xf numFmtId="0" fontId="26" fillId="36" borderId="15" xfId="0" applyFont="1" applyFill="1" applyBorder="1" applyAlignment="1">
      <alignment horizontal="center" vertical="center" wrapText="1"/>
    </xf>
    <xf numFmtId="0" fontId="26" fillId="36" borderId="20" xfId="0" applyFont="1" applyFill="1" applyBorder="1" applyAlignment="1">
      <alignment horizontal="center" vertical="center" wrapText="1"/>
    </xf>
    <xf numFmtId="0" fontId="26" fillId="36" borderId="18" xfId="0" applyFont="1" applyFill="1" applyBorder="1" applyAlignment="1">
      <alignment horizontal="center" vertical="center" wrapText="1"/>
    </xf>
    <xf numFmtId="0" fontId="0" fillId="37" borderId="0" xfId="0" applyFill="1" applyAlignment="1">
      <alignment horizontal="left" vertical="center"/>
    </xf>
    <xf numFmtId="0" fontId="0" fillId="37" borderId="0" xfId="0" applyNumberFormat="1" applyFill="1" applyAlignment="1">
      <alignment horizontal="center" vertical="center"/>
    </xf>
    <xf numFmtId="49" fontId="0" fillId="37" borderId="0" xfId="0" applyNumberFormat="1" applyFill="1" applyAlignment="1">
      <alignment horizontal="center" vertical="center"/>
    </xf>
    <xf numFmtId="0" fontId="0" fillId="37" borderId="0" xfId="0" applyFill="1" applyAlignment="1">
      <alignment horizontal="center" vertical="center"/>
    </xf>
    <xf numFmtId="0" fontId="32" fillId="42" borderId="22" xfId="0" applyFont="1" applyFill="1" applyBorder="1" applyAlignment="1">
      <alignment horizontal="center" vertical="center" wrapText="1"/>
    </xf>
    <xf numFmtId="49" fontId="32" fillId="42" borderId="22" xfId="0" applyNumberFormat="1" applyFont="1" applyFill="1" applyBorder="1" applyAlignment="1">
      <alignment horizontal="center" vertical="center" wrapText="1"/>
    </xf>
    <xf numFmtId="0" fontId="0" fillId="44" borderId="0" xfId="0" applyNumberFormat="1" applyFill="1" applyBorder="1" applyAlignment="1">
      <alignment horizontal="center" vertical="center"/>
    </xf>
    <xf numFmtId="0" fontId="0" fillId="44" borderId="0" xfId="0" applyNumberFormat="1" applyFill="1" applyAlignment="1">
      <alignment horizontal="center" vertical="center"/>
    </xf>
    <xf numFmtId="0" fontId="0" fillId="46" borderId="0" xfId="0" applyNumberFormat="1" applyFill="1" applyAlignment="1">
      <alignment horizontal="center" vertical="center"/>
    </xf>
    <xf numFmtId="0" fontId="0" fillId="43" borderId="0" xfId="0" applyNumberFormat="1" applyFill="1" applyBorder="1" applyAlignment="1">
      <alignment horizontal="center" vertical="center"/>
    </xf>
    <xf numFmtId="0" fontId="0" fillId="43" borderId="0" xfId="0" applyNumberFormat="1" applyFill="1" applyAlignment="1">
      <alignment horizontal="center" vertical="center"/>
    </xf>
    <xf numFmtId="0" fontId="0" fillId="45" borderId="0" xfId="0" applyNumberFormat="1" applyFill="1" applyAlignment="1">
      <alignment horizontal="center" vertical="center"/>
    </xf>
    <xf numFmtId="0" fontId="0" fillId="45" borderId="14" xfId="0" applyNumberFormat="1" applyFill="1" applyBorder="1" applyAlignment="1">
      <alignment horizontal="center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0000000-0005-0000-0000-000025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8"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numFmt numFmtId="0" formatCode="General"/>
      <fill>
        <patternFill patternType="solid">
          <fgColor indexed="64"/>
          <bgColor rgb="FFB4FFB4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auto="1"/>
        </right>
        <top/>
        <bottom/>
        <vertical/>
        <horizontal/>
      </border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auto="1"/>
        </right>
        <top/>
        <bottom/>
        <vertical/>
        <horizontal/>
      </border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left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lor theme="1"/>
      </font>
      <fill>
        <patternFill>
          <bgColor rgb="FF92D050"/>
        </patternFill>
      </fill>
    </dxf>
    <dxf>
      <font>
        <b/>
        <i val="0"/>
        <strike val="0"/>
        <color theme="1"/>
      </font>
      <fill>
        <patternFill>
          <bgColor rgb="FF92D05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ill>
        <patternFill patternType="solid">
          <fgColor indexed="64"/>
          <bgColor rgb="FFFBFEF0"/>
        </patternFill>
      </fill>
      <alignment horizontal="center" vertical="center" textRotation="0" indent="0" justifyLastLine="0" shrinkToFit="0" readingOrder="0"/>
    </dxf>
    <dxf>
      <border>
        <bottom style="medium">
          <color theme="1"/>
        </bottom>
      </border>
    </dxf>
    <dxf>
      <font>
        <strike val="0"/>
        <outline val="0"/>
        <shadow val="0"/>
        <u val="none"/>
        <vertAlign val="baseline"/>
        <sz val="14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</dxfs>
  <tableStyles count="0" defaultTableStyle="TableStyleMedium2" defaultPivotStyle="PivotStyleLight16"/>
  <colors>
    <mruColors>
      <color rgb="FFB0F868"/>
      <color rgb="FFF48F66"/>
      <color rgb="FFFFFFB9"/>
      <color rgb="FFAAF96F"/>
      <color rgb="FF797979"/>
      <color rgb="FFF5F52B"/>
      <color rgb="FFFBFEF0"/>
      <color rgb="FFFFB482"/>
      <color rgb="FFB4FFB4"/>
      <color rgb="FFFF82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eetMetadata" Target="metadata.xml"/><Relationship Id="rId14" Type="http://schemas.openxmlformats.org/officeDocument/2006/relationships/customXml" Target="../customXml/item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176893</xdr:colOff>
      <xdr:row>0</xdr:row>
      <xdr:rowOff>149680</xdr:rowOff>
    </xdr:from>
    <xdr:to>
      <xdr:col>0</xdr:col>
      <xdr:colOff>2585357</xdr:colOff>
      <xdr:row>4</xdr:row>
      <xdr:rowOff>13608</xdr:rowOff>
    </xdr:to>
    <xdr:sp macro="[0]!clearShee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07E09C5-CCF9-4A40-8D96-1F47050DBF45}"/>
            </a:ext>
          </a:extLst>
        </xdr:cNvPr>
        <xdr:cNvSpPr/>
      </xdr:nvSpPr>
      <xdr:spPr>
        <a:xfrm>
          <a:off x="176893" y="149680"/>
          <a:ext cx="2408464" cy="625928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rPr>
            <a:t>Clear previous Data</a:t>
          </a:r>
          <a:endParaRPr lang="ru-RU" sz="2000">
            <a:solidFill>
              <a:sysClr val="windowText" lastClr="000000"/>
            </a:solidFill>
            <a:latin typeface="Eras Light ITC" panose="020B04020305040208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179615</xdr:colOff>
      <xdr:row>9</xdr:row>
      <xdr:rowOff>43544</xdr:rowOff>
    </xdr:from>
    <xdr:to>
      <xdr:col>0</xdr:col>
      <xdr:colOff>2588079</xdr:colOff>
      <xdr:row>15</xdr:row>
      <xdr:rowOff>40822</xdr:rowOff>
    </xdr:to>
    <xdr:sp macro="[0]!mai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F78DE30-6C52-43FA-A797-348952FC93F6}"/>
            </a:ext>
          </a:extLst>
        </xdr:cNvPr>
        <xdr:cNvSpPr/>
      </xdr:nvSpPr>
      <xdr:spPr>
        <a:xfrm>
          <a:off x="179615" y="1758044"/>
          <a:ext cx="2408464" cy="1140278"/>
        </a:xfrm>
        <a:prstGeom prst="roundRect">
          <a:avLst/>
        </a:prstGeom>
        <a:gradFill flip="none" rotWithShape="1">
          <a:gsLst>
            <a:gs pos="0">
              <a:srgbClr val="B0F868">
                <a:shade val="30000"/>
                <a:satMod val="115000"/>
              </a:srgbClr>
            </a:gs>
            <a:gs pos="50000">
              <a:srgbClr val="B0F868">
                <a:shade val="67500"/>
                <a:satMod val="115000"/>
              </a:srgbClr>
            </a:gs>
            <a:gs pos="100000">
              <a:srgbClr val="B0F868">
                <a:shade val="100000"/>
                <a:satMod val="115000"/>
              </a:srgbClr>
            </a:gs>
          </a:gsLst>
          <a:lin ang="13500000" scaled="1"/>
          <a:tileRect/>
        </a:gra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</a:rPr>
            <a:t>Import data</a:t>
          </a:r>
          <a:r>
            <a:rPr lang="en-US" sz="2000" baseline="0">
              <a:solidFill>
                <a:sysClr val="windowText" lastClr="000000"/>
              </a:solidFill>
              <a:latin typeface="Eras Light ITC" panose="020B0402030504020804" pitchFamily="34" charset="0"/>
            </a:rPr>
            <a:t>        from PDF</a:t>
          </a:r>
          <a:endParaRPr lang="ru-RU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179615</xdr:colOff>
      <xdr:row>4</xdr:row>
      <xdr:rowOff>179615</xdr:rowOff>
    </xdr:from>
    <xdr:to>
      <xdr:col>0</xdr:col>
      <xdr:colOff>2588079</xdr:colOff>
      <xdr:row>8</xdr:row>
      <xdr:rowOff>43543</xdr:rowOff>
    </xdr:to>
    <xdr:sp macro="[0]!refreshQueri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55D163A-9240-441C-8A79-D25032B18388}"/>
            </a:ext>
          </a:extLst>
        </xdr:cNvPr>
        <xdr:cNvSpPr/>
      </xdr:nvSpPr>
      <xdr:spPr>
        <a:xfrm>
          <a:off x="179615" y="941615"/>
          <a:ext cx="2408464" cy="625928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rPr>
            <a:t>Refresh all queries</a:t>
          </a:r>
          <a:endParaRPr lang="ru-RU" sz="2000">
            <a:solidFill>
              <a:sysClr val="windowText" lastClr="000000"/>
            </a:solidFill>
            <a:latin typeface="Eras Light ITC" panose="020B04020305040208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182336</xdr:colOff>
      <xdr:row>16</xdr:row>
      <xdr:rowOff>19050</xdr:rowOff>
    </xdr:from>
    <xdr:to>
      <xdr:col>0</xdr:col>
      <xdr:colOff>2590800</xdr:colOff>
      <xdr:row>19</xdr:row>
      <xdr:rowOff>73478</xdr:rowOff>
    </xdr:to>
    <xdr:sp macro="[0]!goToTabl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542948DC-EAB4-4C39-9EDB-72796BD90703}"/>
            </a:ext>
          </a:extLst>
        </xdr:cNvPr>
        <xdr:cNvSpPr/>
      </xdr:nvSpPr>
      <xdr:spPr>
        <a:xfrm>
          <a:off x="182336" y="3067050"/>
          <a:ext cx="2408464" cy="625928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rPr>
            <a:t>Go to table</a:t>
          </a:r>
          <a:endParaRPr lang="ru-RU" sz="2000">
            <a:solidFill>
              <a:sysClr val="windowText" lastClr="000000"/>
            </a:solidFill>
            <a:latin typeface="Eras Light ITC" panose="020B04020305040208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390525</xdr:colOff>
      <xdr:row>20</xdr:row>
      <xdr:rowOff>104775</xdr:rowOff>
    </xdr:from>
    <xdr:to>
      <xdr:col>0</xdr:col>
      <xdr:colOff>2619376</xdr:colOff>
      <xdr:row>22</xdr:row>
      <xdr:rowOff>0</xdr:rowOff>
    </xdr:to>
    <xdr:sp macro="" textlink="">
      <xdr:nvSpPr>
        <xdr:cNvPr id="11" name="tb_negative">
          <a:extLst>
            <a:ext uri="{FF2B5EF4-FFF2-40B4-BE49-F238E27FC236}">
              <a16:creationId xmlns:a16="http://schemas.microsoft.com/office/drawing/2014/main" id="{3C92307E-6A6D-4268-90B2-116574EFD7C7}"/>
            </a:ext>
          </a:extLst>
        </xdr:cNvPr>
        <xdr:cNvSpPr/>
      </xdr:nvSpPr>
      <xdr:spPr>
        <a:xfrm>
          <a:off x="390525" y="3914775"/>
          <a:ext cx="2228851" cy="276225"/>
        </a:xfrm>
        <a:prstGeom prst="snip1Rect">
          <a:avLst>
            <a:gd name="adj" fmla="val 46552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GB" sz="1100">
              <a:solidFill>
                <a:sysClr val="windowText" lastClr="000000"/>
              </a:solidFill>
            </a:rPr>
            <a:t>All files were succesfully exported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KMD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MD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00000000}" autoFormatId="16" applyNumberFormats="0" applyBorderFormats="0" applyFontFormats="0" applyPatternFormats="0" applyAlignmentFormats="0" applyWidthHeightFormats="0">
  <queryTableRefresh nextId="1326">
    <queryTableFields count="28">
      <queryTableField id="774" name="Column1" tableColumnId="1"/>
      <queryTableField id="1299" name="Column2" tableColumnId="2"/>
      <queryTableField id="1300" name="Column3" tableColumnId="3"/>
      <queryTableField id="1301" name="Column4" tableColumnId="4"/>
      <queryTableField id="1302" name="Column5" tableColumnId="5"/>
      <queryTableField id="1303" name="Column6" tableColumnId="6"/>
      <queryTableField id="1304" name="Column7" tableColumnId="7"/>
      <queryTableField id="1305" name="Column8" tableColumnId="8"/>
      <queryTableField id="1306" name="Column9" tableColumnId="9"/>
      <queryTableField id="1307" name="Column10" tableColumnId="10"/>
      <queryTableField id="1308" name="Column11" tableColumnId="11"/>
      <queryTableField id="1309" name="Column12" tableColumnId="12"/>
      <queryTableField id="1310" name="Column13" tableColumnId="13"/>
      <queryTableField id="1311" name="Column14" tableColumnId="14"/>
      <queryTableField id="1312" name="Column15" tableColumnId="15"/>
      <queryTableField id="1313" name="Column16" tableColumnId="16"/>
      <queryTableField id="1314" name="Column17" tableColumnId="17"/>
      <queryTableField id="1315" name="Column18" tableColumnId="18"/>
      <queryTableField id="1316" name="Column19" tableColumnId="19"/>
      <queryTableField id="1317" name="Column20" tableColumnId="20"/>
      <queryTableField id="1318" name="Column21" tableColumnId="21"/>
      <queryTableField id="1319" name="Column22" tableColumnId="22"/>
      <queryTableField id="1320" name="Column23" tableColumnId="23"/>
      <queryTableField id="1321" name="Column24" tableColumnId="24"/>
      <queryTableField id="1322" name="Column25" tableColumnId="25"/>
      <queryTableField id="1323" name="Column26" tableColumnId="26"/>
      <queryTableField id="1324" name="Column27" tableColumnId="27"/>
      <queryTableField id="1325" name="Column28" tableColumnId="28"/>
    </queryTableFields>
    <queryTableDeletedFields count="2">
      <deletedField name="Column1"/>
      <deletedField name="Column2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00000000-0016-0000-0200-000001000000}" autoFormatId="16" applyNumberFormats="0" applyBorderFormats="0" applyFontFormats="0" applyPatternFormats="0" applyAlignmentFormats="0" applyWidthHeightFormats="0">
  <queryTableRefresh nextId="58" unboundColumnsRight="1">
    <queryTableFields count="19">
      <queryTableField id="15" name="Acrobat file" tableColumnId="15"/>
      <queryTableField id="29" dataBound="0" tableColumnId="27"/>
      <queryTableField id="49" dataBound="0" tableColumnId="5"/>
      <queryTableField id="7" name="Document title" tableColumnId="7"/>
      <queryTableField id="50" dataBound="0" tableColumnId="9"/>
      <queryTableField id="6" name="Document _x000a_Revision" tableColumnId="6"/>
      <queryTableField id="51" dataBound="0" tableColumnId="11"/>
      <queryTableField id="8" name="Document Revision _x000a_Date" tableColumnId="8"/>
      <queryTableField id="52" dataBound="0" tableColumnId="12"/>
      <queryTableField id="45" name="Document Revision Description" tableColumnId="4"/>
      <queryTableField id="53" dataBound="0" tableColumnId="13"/>
      <queryTableField id="41" name="Document format" tableColumnId="3"/>
      <queryTableField id="54" dataBound="0" tableColumnId="17"/>
      <queryTableField id="10" name="Document _x000a_Number of pages" tableColumnId="10"/>
      <queryTableField id="55" dataBound="0" tableColumnId="18"/>
      <queryTableField id="14" name="Russian Title" tableColumnId="14"/>
      <queryTableField id="56" dataBound="0" tableColumnId="19"/>
      <queryTableField id="16" name="Delivery Package" tableColumnId="16"/>
      <queryTableField id="57" dataBound="0" tableColumnId="20"/>
    </queryTableFields>
    <queryTableDeletedFields count="2">
      <deletedField name="Document format"/>
      <deletedField name="Document format"/>
    </queryTableDeleted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3:P31" totalsRowShown="0" headerRowDxfId="57" dataDxfId="56" tableBorderDxfId="55">
  <autoFilter ref="A3:P31" xr:uid="{00000000-0009-0000-0100-000001000000}"/>
  <tableColumns count="16">
    <tableColumn id="1" xr3:uid="{00000000-0010-0000-0000-000001000000}" name="Project" dataDxfId="54"/>
    <tableColumn id="2" xr3:uid="{00000000-0010-0000-0000-000002000000}" name="Unit" dataDxfId="53"/>
    <tableColumn id="3" xr3:uid="{00000000-0010-0000-0000-000003000000}" name="Doc Type" dataDxfId="52"/>
    <tableColumn id="4" xr3:uid="{00000000-0010-0000-0000-000004000000}" name="Mat Code / _x000a_Dept" dataDxfId="51"/>
    <tableColumn id="5" xr3:uid="{00000000-0010-0000-0000-000005000000}" name="Serial" dataDxfId="50"/>
    <tableColumn id="6" xr3:uid="{00000000-0010-0000-0000-000006000000}" name="Document _x000a_Revision" dataDxfId="49"/>
    <tableColumn id="7" xr3:uid="{00000000-0010-0000-0000-000007000000}" name="Document title" dataDxfId="48"/>
    <tableColumn id="9" xr3:uid="{00000000-0010-0000-0000-000009000000}" name="Document Revision _x000a_Date" dataDxfId="47"/>
    <tableColumn id="11" xr3:uid="{00000000-0010-0000-0000-00000B000000}" name="Document format" dataDxfId="46"/>
    <tableColumn id="13" xr3:uid="{00000000-0010-0000-0000-00000D000000}" name="Document _x000a_Number of pages" dataDxfId="45"/>
    <tableColumn id="15" xr3:uid="{00000000-0010-0000-0000-00000F000000}" name="Module Number" dataDxfId="44"/>
    <tableColumn id="16" xr3:uid="{00000000-0010-0000-0000-000010000000}" name="Representation Code" dataDxfId="43"/>
    <tableColumn id="17" xr3:uid="{00000000-0010-0000-0000-000011000000}" name="Document Language" dataDxfId="42"/>
    <tableColumn id="18" xr3:uid="{00000000-0010-0000-0000-000012000000}" name="Russian Title" dataDxfId="41"/>
    <tableColumn id="20" xr3:uid="{00000000-0010-0000-0000-000014000000}" name="Acrobat file" dataDxfId="40"/>
    <tableColumn id="22" xr3:uid="{00000000-0010-0000-0000-000016000000}" name="Delivery Package" dataDxfId="3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GetFileNames" displayName="GetFileNames" ref="C1:AD2" tableType="queryTable" totalsRowShown="0" headerRowDxfId="38" dataDxfId="37">
  <autoFilter ref="C1:AD2" xr:uid="{00000000-0009-0000-0100-000002000000}"/>
  <tableColumns count="28">
    <tableColumn id="1" xr3:uid="{00000000-0010-0000-0100-000001000000}" uniqueName="1" name="File 1" queryTableFieldId="774" dataDxfId="33"/>
    <tableColumn id="2" xr3:uid="{B4B5EB06-E3E4-4262-BEB6-46457B9A55E4}" uniqueName="2" name="File 2" queryTableFieldId="1299"/>
    <tableColumn id="3" xr3:uid="{C14D6A5D-6BAC-4A7B-B076-4ED3C8095EB0}" uniqueName="3" name="File 3" queryTableFieldId="1300"/>
    <tableColumn id="4" xr3:uid="{40E70A50-1998-4CD2-AEA5-F0C22A59BD81}" uniqueName="4" name="File 4" queryTableFieldId="1301"/>
    <tableColumn id="5" xr3:uid="{B4BB91E9-E395-4BBD-B0E9-4601F971E9FC}" uniqueName="5" name="File 5" queryTableFieldId="1302"/>
    <tableColumn id="6" xr3:uid="{F8690A5E-98C3-49DC-985E-0C337AE01535}" uniqueName="6" name="File 6" queryTableFieldId="1303" dataDxfId="10"/>
    <tableColumn id="7" xr3:uid="{6E8A1311-8B62-4637-B7AE-D8E665729934}" uniqueName="7" name="File 7" queryTableFieldId="1304" dataDxfId="9"/>
    <tableColumn id="8" xr3:uid="{9FCDDF38-8B47-4D5C-94AC-66386A35E02D}" uniqueName="8" name="File 8" queryTableFieldId="1305" dataDxfId="8"/>
    <tableColumn id="9" xr3:uid="{A02B7E93-7759-42D6-B608-207F3045017B}" uniqueName="9" name="File 9" queryTableFieldId="1306" dataDxfId="7"/>
    <tableColumn id="10" xr3:uid="{979CB84C-CF2D-4032-80B4-B9B23A6A3391}" uniqueName="10" name="File 10" queryTableFieldId="1307" dataDxfId="6"/>
    <tableColumn id="11" xr3:uid="{C79D9346-5564-4395-A0E2-57D13D3EBB91}" uniqueName="11" name="File 11" queryTableFieldId="1308" dataDxfId="5"/>
    <tableColumn id="12" xr3:uid="{CF522554-FD0D-456E-8300-4D78A4E60CC0}" uniqueName="12" name="File 12" queryTableFieldId="1309" dataDxfId="4"/>
    <tableColumn id="13" xr3:uid="{AC4A17C0-E6F5-4CBA-B5F0-B1098A8ADED1}" uniqueName="13" name="File 13" queryTableFieldId="1310" dataDxfId="3"/>
    <tableColumn id="14" xr3:uid="{0D07DC4A-1BA8-4666-8C6E-4678CF53B4AB}" uniqueName="14" name="File 14" queryTableFieldId="1311" dataDxfId="2"/>
    <tableColumn id="15" xr3:uid="{009E92DF-FECC-42F0-832F-728391F088C7}" uniqueName="15" name="File 15" queryTableFieldId="1312" dataDxfId="1"/>
    <tableColumn id="16" xr3:uid="{051FD924-AAF9-4938-B25F-6E5EB650943E}" uniqueName="16" name="File 16" queryTableFieldId="1313" dataDxfId="0"/>
    <tableColumn id="17" xr3:uid="{53DA4C8C-B77C-4383-996E-8F3DF16B72E8}" uniqueName="17" name="File 17" queryTableFieldId="1314"/>
    <tableColumn id="18" xr3:uid="{441329FA-9070-46F7-8A68-2E342E18D067}" uniqueName="18" name="File 18" queryTableFieldId="1315"/>
    <tableColumn id="19" xr3:uid="{34191868-1B8D-4584-AF49-F24FBCD485CA}" uniqueName="19" name="File 19" queryTableFieldId="1316"/>
    <tableColumn id="20" xr3:uid="{FAA216E5-95E0-4571-B2A1-7C8938AE121F}" uniqueName="20" name="File 20" queryTableFieldId="1317"/>
    <tableColumn id="21" xr3:uid="{F5827896-5557-4BD6-8C38-291AFAAF288A}" uniqueName="21" name="File 21" queryTableFieldId="1318"/>
    <tableColumn id="22" xr3:uid="{50A90BE1-5DD3-4F59-86A8-6832E8880684}" uniqueName="22" name="File 22" queryTableFieldId="1319" dataDxfId="11"/>
    <tableColumn id="23" xr3:uid="{0997F1FE-4686-43BF-978A-E111B55631D7}" uniqueName="23" name="File 23" queryTableFieldId="1320"/>
    <tableColumn id="24" xr3:uid="{F04F3C88-F861-43E0-93E1-F280512403C3}" uniqueName="24" name="File 24" queryTableFieldId="1321"/>
    <tableColumn id="25" xr3:uid="{E9F3D573-E6A9-4D1F-9E97-BC0ECF48A425}" uniqueName="25" name="File 25" queryTableFieldId="1322"/>
    <tableColumn id="26" xr3:uid="{60D4F33E-61AB-46B6-B2AC-A38502413D81}" uniqueName="26" name="File 26" queryTableFieldId="1323"/>
    <tableColumn id="27" xr3:uid="{363CAAF6-5012-4BCA-902A-50FB7D1C5460}" uniqueName="27" name="File 27" queryTableFieldId="1324"/>
    <tableColumn id="28" xr3:uid="{B8ED3149-A101-40DE-89E1-4063B6DE243B}" uniqueName="28" name="File 28" queryTableFieldId="132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GetTable" displayName="GetTable" ref="A3:S31" tableType="queryTable" totalsRowShown="0" headerRowDxfId="36" dataDxfId="34" headerRowBorderDxfId="35">
  <autoFilter ref="A3:S31" xr:uid="{00000000-0009-0000-0100-000003000000}"/>
  <tableColumns count="19">
    <tableColumn id="15" xr3:uid="{00000000-0010-0000-0200-00000F000000}" uniqueName="15" name="Acrobat file" queryTableFieldId="15" dataDxfId="30"/>
    <tableColumn id="27" xr3:uid="{00000000-0010-0000-0200-00001B000000}" uniqueName="27" name="Column number" queryTableFieldId="29" dataDxfId="29">
      <calculatedColumnFormula>IFERROR(MATCH(GetTable[[#This Row],[Acrobat file]],GetFileNames[],0),"0")</calculatedColumnFormula>
    </tableColumn>
    <tableColumn id="5" xr3:uid="{00000000-0010-0000-0200-000005000000}" uniqueName="5" name="Document number present in pdf file" queryTableFieldId="49" dataDxfId="28">
      <calculatedColumnFormula array="1">getDocumentName(A4,B4)</calculatedColumnFormula>
    </tableColumn>
    <tableColumn id="7" xr3:uid="{00000000-0010-0000-0200-000007000000}" uniqueName="7" name="Document title" queryTableFieldId="7" dataDxfId="27"/>
    <tableColumn id="9" xr3:uid="{00000000-0010-0000-0200-000009000000}" uniqueName="9" name="present in PDF 1" queryTableFieldId="50" dataDxfId="26">
      <calculatedColumnFormula>getDocumentTitle(D4,B4)</calculatedColumnFormula>
    </tableColumn>
    <tableColumn id="6" xr3:uid="{00000000-0010-0000-0200-000006000000}" uniqueName="6" name="Document _x000a_Revision" queryTableFieldId="6" dataDxfId="25"/>
    <tableColumn id="11" xr3:uid="{00000000-0010-0000-0200-00000B000000}" uniqueName="11" name="present in PDF 2" queryTableFieldId="51" dataDxfId="24">
      <calculatedColumnFormula array="1">getDocumentRevision(F4,B4)</calculatedColumnFormula>
    </tableColumn>
    <tableColumn id="8" xr3:uid="{00000000-0010-0000-0200-000008000000}" uniqueName="8" name="Document Revision _x000a_Date" queryTableFieldId="8" dataDxfId="23"/>
    <tableColumn id="12" xr3:uid="{00000000-0010-0000-0200-00000C000000}" uniqueName="12" name="present in PDF 3" queryTableFieldId="52" dataDxfId="22">
      <calculatedColumnFormula array="1">getDocumentRevisionDate(H4,B4)</calculatedColumnFormula>
    </tableColumn>
    <tableColumn id="4" xr3:uid="{00000000-0010-0000-0200-000004000000}" uniqueName="4" name="Document Revision Description" queryTableFieldId="45" dataDxfId="21"/>
    <tableColumn id="13" xr3:uid="{00000000-0010-0000-0200-00000D000000}" uniqueName="13" name="present in PDF 4" queryTableFieldId="53" dataDxfId="20">
      <calculatedColumnFormula array="1">getDocumentRevisionDescription(J4,I4,B4)</calculatedColumnFormula>
    </tableColumn>
    <tableColumn id="3" xr3:uid="{00000000-0010-0000-0200-000003000000}" uniqueName="3" name="Document format" queryTableFieldId="41" dataDxfId="19"/>
    <tableColumn id="17" xr3:uid="{00000000-0010-0000-0200-000011000000}" uniqueName="17" name="present in PDF 5" queryTableFieldId="54" dataDxfId="18">
      <calculatedColumnFormula array="1">getDocumentFormat(B4)</calculatedColumnFormula>
    </tableColumn>
    <tableColumn id="10" xr3:uid="{00000000-0010-0000-0200-00000A000000}" uniqueName="10" name="Document _x000a_Number of pages" queryTableFieldId="10" dataDxfId="17"/>
    <tableColumn id="18" xr3:uid="{00000000-0010-0000-0200-000012000000}" uniqueName="18" name="present in PDF 6" queryTableFieldId="55" dataDxfId="16">
      <calculatedColumnFormula array="1">getDocumentSheetsQuantity(B4)</calculatedColumnFormula>
    </tableColumn>
    <tableColumn id="14" xr3:uid="{00000000-0010-0000-0200-00000E000000}" uniqueName="14" name="Russian Title" queryTableFieldId="14" dataDxfId="15"/>
    <tableColumn id="19" xr3:uid="{00000000-0010-0000-0200-000013000000}" uniqueName="19" name="present in PDF 7" queryTableFieldId="56" dataDxfId="14"/>
    <tableColumn id="16" xr3:uid="{00000000-0010-0000-0200-000010000000}" uniqueName="16" name="Delivery Package" queryTableFieldId="16" dataDxfId="13"/>
    <tableColumn id="20" xr3:uid="{00000000-0010-0000-0200-000014000000}" uniqueName="20" name="present in PDF 8" queryTableFieldId="57" dataDxfId="12">
      <calculatedColumnFormula array="1">getDocumentDPNumber(R4,B4)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31"/>
  <sheetViews>
    <sheetView topLeftCell="E1" zoomScale="85" zoomScaleNormal="85" workbookViewId="0">
      <selection activeCell="O28" sqref="O28"/>
    </sheetView>
  </sheetViews>
  <sheetFormatPr defaultColWidth="11.42578125" defaultRowHeight="15" customHeight="1" x14ac:dyDescent="0.25"/>
  <cols>
    <col min="1" max="1" width="29.5703125" style="16" customWidth="1"/>
    <col min="2" max="5" width="16.42578125" style="16" customWidth="1"/>
    <col min="6" max="6" width="14.7109375" style="16" customWidth="1"/>
    <col min="7" max="7" width="52.140625" style="16" customWidth="1"/>
    <col min="8" max="8" width="16.140625" style="16" customWidth="1"/>
    <col min="9" max="9" width="19" style="16" customWidth="1"/>
    <col min="10" max="10" width="13.5703125" style="16" customWidth="1"/>
    <col min="11" max="11" width="17.42578125" style="16" customWidth="1"/>
    <col min="12" max="12" width="21.28515625" style="16" customWidth="1"/>
    <col min="13" max="13" width="20.7109375" style="16" customWidth="1"/>
    <col min="14" max="14" width="53.7109375" style="16" customWidth="1"/>
    <col min="15" max="15" width="48.140625" style="16" customWidth="1"/>
    <col min="16" max="16" width="18.140625" style="16" customWidth="1"/>
    <col min="17" max="16384" width="11.42578125" style="1"/>
  </cols>
  <sheetData>
    <row r="1" spans="1:16" x14ac:dyDescent="0.25">
      <c r="A1" s="2"/>
      <c r="B1" s="4" t="s">
        <v>0</v>
      </c>
      <c r="C1" s="5">
        <f>CheckTable!D$1</f>
        <v>8</v>
      </c>
      <c r="D1" s="3"/>
      <c r="E1" s="2"/>
      <c r="F1" s="4" t="s">
        <v>1</v>
      </c>
      <c r="G1" s="6">
        <f>CheckTable!F$1</f>
        <v>20</v>
      </c>
      <c r="H1" s="1"/>
      <c r="I1" s="1"/>
      <c r="J1" s="1"/>
      <c r="K1" s="1"/>
      <c r="L1" s="1"/>
      <c r="M1" s="1"/>
      <c r="N1" s="1"/>
      <c r="O1" s="1"/>
      <c r="P1" s="1"/>
    </row>
    <row r="2" spans="1:1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s="9" customFormat="1" ht="63.75" customHeight="1" x14ac:dyDescent="0.25">
      <c r="A3" s="7" t="s">
        <v>2</v>
      </c>
      <c r="B3" s="7" t="s">
        <v>3</v>
      </c>
      <c r="C3" s="7" t="s">
        <v>4</v>
      </c>
      <c r="D3" s="7" t="s">
        <v>5</v>
      </c>
      <c r="E3" s="7" t="s">
        <v>6</v>
      </c>
      <c r="F3" s="7" t="s">
        <v>7</v>
      </c>
      <c r="G3" s="7" t="s">
        <v>8</v>
      </c>
      <c r="H3" s="7" t="s">
        <v>9</v>
      </c>
      <c r="I3" s="7" t="s">
        <v>10</v>
      </c>
      <c r="J3" s="7" t="s">
        <v>11</v>
      </c>
      <c r="K3" s="7" t="s">
        <v>12</v>
      </c>
      <c r="L3" s="7" t="s">
        <v>13</v>
      </c>
      <c r="M3" s="7" t="s">
        <v>14</v>
      </c>
      <c r="N3" s="7" t="s">
        <v>15</v>
      </c>
      <c r="O3" s="7" t="s">
        <v>16</v>
      </c>
      <c r="P3" s="8" t="s">
        <v>17</v>
      </c>
    </row>
    <row r="4" spans="1:16" ht="15" customHeight="1" x14ac:dyDescent="0.25">
      <c r="A4" s="34" t="s">
        <v>40</v>
      </c>
      <c r="B4" s="34">
        <v>300</v>
      </c>
      <c r="C4" s="34" t="s">
        <v>41</v>
      </c>
      <c r="D4" s="34"/>
      <c r="E4" s="34" t="s">
        <v>42</v>
      </c>
      <c r="F4" s="35" t="s">
        <v>43</v>
      </c>
      <c r="G4" s="34" t="s">
        <v>44</v>
      </c>
      <c r="H4" s="35" t="s">
        <v>45</v>
      </c>
      <c r="I4" s="34" t="s">
        <v>46</v>
      </c>
      <c r="J4" s="34">
        <v>1</v>
      </c>
      <c r="K4" s="34" t="s">
        <v>47</v>
      </c>
      <c r="L4" s="34" t="s">
        <v>48</v>
      </c>
      <c r="M4" s="34" t="s">
        <v>49</v>
      </c>
      <c r="N4" s="34" t="s">
        <v>50</v>
      </c>
      <c r="O4" s="34" t="s">
        <v>51</v>
      </c>
      <c r="P4" s="34" t="s">
        <v>52</v>
      </c>
    </row>
    <row r="5" spans="1:16" ht="15" customHeight="1" x14ac:dyDescent="0.25">
      <c r="A5" s="35" t="s">
        <v>40</v>
      </c>
      <c r="B5" s="35">
        <v>300</v>
      </c>
      <c r="C5" s="35" t="s">
        <v>41</v>
      </c>
      <c r="D5" s="35"/>
      <c r="E5" s="35" t="s">
        <v>53</v>
      </c>
      <c r="F5" s="35" t="s">
        <v>43</v>
      </c>
      <c r="G5" s="35" t="s">
        <v>54</v>
      </c>
      <c r="H5" s="35" t="s">
        <v>45</v>
      </c>
      <c r="I5" s="35" t="s">
        <v>55</v>
      </c>
      <c r="J5" s="35">
        <v>1</v>
      </c>
      <c r="K5" s="35" t="s">
        <v>47</v>
      </c>
      <c r="L5" s="35" t="s">
        <v>48</v>
      </c>
      <c r="M5" s="35" t="s">
        <v>49</v>
      </c>
      <c r="N5" s="35" t="s">
        <v>56</v>
      </c>
      <c r="O5" s="35" t="s">
        <v>57</v>
      </c>
      <c r="P5" s="35" t="s">
        <v>52</v>
      </c>
    </row>
    <row r="6" spans="1:16" ht="15" customHeight="1" x14ac:dyDescent="0.25">
      <c r="A6" s="35" t="s">
        <v>40</v>
      </c>
      <c r="B6" s="35">
        <v>300</v>
      </c>
      <c r="C6" s="35" t="s">
        <v>41</v>
      </c>
      <c r="D6" s="35"/>
      <c r="E6" s="35" t="s">
        <v>58</v>
      </c>
      <c r="F6" s="35" t="s">
        <v>43</v>
      </c>
      <c r="G6" s="35" t="s">
        <v>59</v>
      </c>
      <c r="H6" s="35" t="s">
        <v>45</v>
      </c>
      <c r="I6" s="35" t="s">
        <v>60</v>
      </c>
      <c r="J6" s="35">
        <v>1</v>
      </c>
      <c r="K6" s="35" t="s">
        <v>47</v>
      </c>
      <c r="L6" s="35" t="s">
        <v>48</v>
      </c>
      <c r="M6" s="35" t="s">
        <v>49</v>
      </c>
      <c r="N6" s="35" t="s">
        <v>61</v>
      </c>
      <c r="O6" s="35" t="s">
        <v>62</v>
      </c>
      <c r="P6" s="35" t="s">
        <v>52</v>
      </c>
    </row>
    <row r="7" spans="1:16" ht="15" customHeight="1" x14ac:dyDescent="0.25">
      <c r="A7" s="35" t="s">
        <v>40</v>
      </c>
      <c r="B7" s="35">
        <v>300</v>
      </c>
      <c r="C7" s="35" t="s">
        <v>41</v>
      </c>
      <c r="D7" s="35"/>
      <c r="E7" s="35" t="s">
        <v>63</v>
      </c>
      <c r="F7" s="35" t="s">
        <v>43</v>
      </c>
      <c r="G7" s="35" t="s">
        <v>64</v>
      </c>
      <c r="H7" s="35" t="s">
        <v>45</v>
      </c>
      <c r="I7" s="35" t="s">
        <v>55</v>
      </c>
      <c r="J7" s="35">
        <v>1</v>
      </c>
      <c r="K7" s="35" t="s">
        <v>47</v>
      </c>
      <c r="L7" s="35" t="s">
        <v>48</v>
      </c>
      <c r="M7" s="35" t="s">
        <v>49</v>
      </c>
      <c r="N7" s="35" t="s">
        <v>65</v>
      </c>
      <c r="O7" s="35" t="s">
        <v>66</v>
      </c>
      <c r="P7" s="35" t="s">
        <v>52</v>
      </c>
    </row>
    <row r="8" spans="1:16" ht="15" customHeight="1" x14ac:dyDescent="0.25">
      <c r="A8" s="35" t="s">
        <v>40</v>
      </c>
      <c r="B8" s="35">
        <v>300</v>
      </c>
      <c r="C8" s="35" t="s">
        <v>41</v>
      </c>
      <c r="D8" s="35"/>
      <c r="E8" s="35" t="s">
        <v>67</v>
      </c>
      <c r="F8" s="35" t="s">
        <v>43</v>
      </c>
      <c r="G8" s="35" t="s">
        <v>68</v>
      </c>
      <c r="H8" s="35" t="s">
        <v>45</v>
      </c>
      <c r="I8" s="35" t="s">
        <v>55</v>
      </c>
      <c r="J8" s="35">
        <v>1</v>
      </c>
      <c r="K8" s="35" t="s">
        <v>47</v>
      </c>
      <c r="L8" s="35" t="s">
        <v>48</v>
      </c>
      <c r="M8" s="35" t="s">
        <v>49</v>
      </c>
      <c r="N8" s="35" t="s">
        <v>69</v>
      </c>
      <c r="O8" s="35" t="s">
        <v>70</v>
      </c>
      <c r="P8" s="35" t="s">
        <v>52</v>
      </c>
    </row>
    <row r="9" spans="1:16" ht="15" customHeight="1" x14ac:dyDescent="0.25">
      <c r="A9" s="35" t="s">
        <v>71</v>
      </c>
      <c r="B9" s="35">
        <v>200</v>
      </c>
      <c r="C9" s="35" t="s">
        <v>41</v>
      </c>
      <c r="D9" s="35"/>
      <c r="E9" s="35" t="s">
        <v>72</v>
      </c>
      <c r="F9" s="35" t="s">
        <v>73</v>
      </c>
      <c r="G9" s="35" t="s">
        <v>74</v>
      </c>
      <c r="H9" s="35" t="s">
        <v>75</v>
      </c>
      <c r="I9" s="35" t="s">
        <v>76</v>
      </c>
      <c r="J9" s="35">
        <v>7</v>
      </c>
      <c r="K9" s="35" t="s">
        <v>77</v>
      </c>
      <c r="L9" s="35" t="s">
        <v>48</v>
      </c>
      <c r="M9" s="35" t="s">
        <v>49</v>
      </c>
      <c r="N9" s="35" t="s">
        <v>78</v>
      </c>
      <c r="O9" s="35" t="s">
        <v>79</v>
      </c>
      <c r="P9" s="35" t="s">
        <v>80</v>
      </c>
    </row>
    <row r="10" spans="1:16" ht="15" customHeight="1" x14ac:dyDescent="0.25">
      <c r="A10" s="35" t="s">
        <v>71</v>
      </c>
      <c r="B10" s="35">
        <v>200</v>
      </c>
      <c r="C10" s="35" t="s">
        <v>41</v>
      </c>
      <c r="D10" s="35"/>
      <c r="E10" s="35" t="s">
        <v>81</v>
      </c>
      <c r="F10" s="35" t="s">
        <v>82</v>
      </c>
      <c r="G10" s="35" t="s">
        <v>83</v>
      </c>
      <c r="H10" s="35" t="s">
        <v>84</v>
      </c>
      <c r="I10" s="35" t="s">
        <v>85</v>
      </c>
      <c r="J10" s="35">
        <v>2</v>
      </c>
      <c r="K10" s="35" t="s">
        <v>77</v>
      </c>
      <c r="L10" s="35" t="s">
        <v>48</v>
      </c>
      <c r="M10" s="35" t="s">
        <v>49</v>
      </c>
      <c r="N10" s="35" t="s">
        <v>86</v>
      </c>
      <c r="O10" s="35" t="s">
        <v>87</v>
      </c>
      <c r="P10" s="35" t="s">
        <v>80</v>
      </c>
    </row>
    <row r="11" spans="1:16" ht="15" customHeight="1" x14ac:dyDescent="0.25">
      <c r="A11" s="35" t="s">
        <v>71</v>
      </c>
      <c r="B11" s="35">
        <v>200</v>
      </c>
      <c r="C11" s="35" t="s">
        <v>41</v>
      </c>
      <c r="D11" s="35"/>
      <c r="E11" s="35" t="s">
        <v>88</v>
      </c>
      <c r="F11" s="35" t="s">
        <v>73</v>
      </c>
      <c r="G11" s="35" t="s">
        <v>89</v>
      </c>
      <c r="H11" s="35" t="s">
        <v>75</v>
      </c>
      <c r="I11" s="35" t="s">
        <v>76</v>
      </c>
      <c r="J11" s="35">
        <v>6</v>
      </c>
      <c r="K11" s="35" t="s">
        <v>77</v>
      </c>
      <c r="L11" s="35" t="s">
        <v>48</v>
      </c>
      <c r="M11" s="35" t="s">
        <v>49</v>
      </c>
      <c r="N11" s="35" t="s">
        <v>90</v>
      </c>
      <c r="O11" s="35" t="s">
        <v>91</v>
      </c>
      <c r="P11" s="35" t="s">
        <v>80</v>
      </c>
    </row>
    <row r="12" spans="1:16" ht="15" customHeight="1" x14ac:dyDescent="0.25">
      <c r="A12" s="35" t="s">
        <v>71</v>
      </c>
      <c r="B12" s="35">
        <v>200</v>
      </c>
      <c r="C12" s="35" t="s">
        <v>41</v>
      </c>
      <c r="D12" s="35"/>
      <c r="E12" s="35" t="s">
        <v>92</v>
      </c>
      <c r="F12" s="35" t="s">
        <v>82</v>
      </c>
      <c r="G12" s="35" t="s">
        <v>93</v>
      </c>
      <c r="H12" s="35" t="s">
        <v>84</v>
      </c>
      <c r="I12" s="35" t="s">
        <v>94</v>
      </c>
      <c r="J12" s="35">
        <v>8</v>
      </c>
      <c r="K12" s="35" t="s">
        <v>77</v>
      </c>
      <c r="L12" s="35" t="s">
        <v>48</v>
      </c>
      <c r="M12" s="35" t="s">
        <v>49</v>
      </c>
      <c r="N12" s="35" t="s">
        <v>95</v>
      </c>
      <c r="O12" s="35" t="s">
        <v>96</v>
      </c>
      <c r="P12" s="35" t="s">
        <v>80</v>
      </c>
    </row>
    <row r="13" spans="1:16" ht="15" customHeight="1" x14ac:dyDescent="0.25">
      <c r="A13" s="35" t="s">
        <v>71</v>
      </c>
      <c r="B13" s="35">
        <v>200</v>
      </c>
      <c r="C13" s="35" t="s">
        <v>41</v>
      </c>
      <c r="D13" s="35"/>
      <c r="E13" s="35" t="s">
        <v>97</v>
      </c>
      <c r="F13" s="35" t="s">
        <v>73</v>
      </c>
      <c r="G13" s="35" t="s">
        <v>98</v>
      </c>
      <c r="H13" s="35" t="s">
        <v>75</v>
      </c>
      <c r="I13" s="35" t="s">
        <v>85</v>
      </c>
      <c r="J13" s="35">
        <v>2</v>
      </c>
      <c r="K13" s="35" t="s">
        <v>77</v>
      </c>
      <c r="L13" s="35" t="s">
        <v>48</v>
      </c>
      <c r="M13" s="35" t="s">
        <v>49</v>
      </c>
      <c r="N13" s="35" t="s">
        <v>99</v>
      </c>
      <c r="O13" s="35" t="s">
        <v>100</v>
      </c>
      <c r="P13" s="35" t="s">
        <v>80</v>
      </c>
    </row>
    <row r="14" spans="1:16" ht="15" customHeight="1" x14ac:dyDescent="0.25">
      <c r="A14" s="35" t="s">
        <v>71</v>
      </c>
      <c r="B14" s="35">
        <v>200</v>
      </c>
      <c r="C14" s="35" t="s">
        <v>41</v>
      </c>
      <c r="D14" s="35"/>
      <c r="E14" s="35" t="s">
        <v>101</v>
      </c>
      <c r="F14" s="35" t="s">
        <v>82</v>
      </c>
      <c r="G14" s="35" t="s">
        <v>102</v>
      </c>
      <c r="H14" s="35" t="s">
        <v>84</v>
      </c>
      <c r="I14" s="35" t="s">
        <v>85</v>
      </c>
      <c r="J14" s="35">
        <v>5</v>
      </c>
      <c r="K14" s="35" t="s">
        <v>77</v>
      </c>
      <c r="L14" s="35" t="s">
        <v>48</v>
      </c>
      <c r="M14" s="35" t="s">
        <v>49</v>
      </c>
      <c r="N14" s="35" t="s">
        <v>103</v>
      </c>
      <c r="O14" s="35" t="s">
        <v>104</v>
      </c>
      <c r="P14" s="35" t="s">
        <v>80</v>
      </c>
    </row>
    <row r="15" spans="1:16" ht="15" customHeight="1" x14ac:dyDescent="0.25">
      <c r="A15" s="35" t="s">
        <v>71</v>
      </c>
      <c r="B15" s="35">
        <v>200</v>
      </c>
      <c r="C15" s="35" t="s">
        <v>41</v>
      </c>
      <c r="D15" s="35"/>
      <c r="E15" s="35" t="s">
        <v>105</v>
      </c>
      <c r="F15" s="35" t="s">
        <v>82</v>
      </c>
      <c r="G15" s="35" t="s">
        <v>106</v>
      </c>
      <c r="H15" s="35" t="s">
        <v>84</v>
      </c>
      <c r="I15" s="35" t="s">
        <v>94</v>
      </c>
      <c r="J15" s="35">
        <v>8</v>
      </c>
      <c r="K15" s="35" t="s">
        <v>77</v>
      </c>
      <c r="L15" s="35" t="s">
        <v>48</v>
      </c>
      <c r="M15" s="35" t="s">
        <v>49</v>
      </c>
      <c r="N15" s="35" t="s">
        <v>107</v>
      </c>
      <c r="O15" s="35" t="s">
        <v>108</v>
      </c>
      <c r="P15" s="35" t="s">
        <v>80</v>
      </c>
    </row>
    <row r="16" spans="1:16" ht="15" customHeight="1" x14ac:dyDescent="0.25">
      <c r="A16" s="35" t="s">
        <v>71</v>
      </c>
      <c r="B16" s="35">
        <v>200</v>
      </c>
      <c r="C16" s="35" t="s">
        <v>41</v>
      </c>
      <c r="D16" s="35"/>
      <c r="E16" s="35" t="s">
        <v>109</v>
      </c>
      <c r="F16" s="35" t="s">
        <v>82</v>
      </c>
      <c r="G16" s="35" t="s">
        <v>110</v>
      </c>
      <c r="H16" s="35" t="s">
        <v>84</v>
      </c>
      <c r="I16" s="35" t="s">
        <v>85</v>
      </c>
      <c r="J16" s="35">
        <v>6</v>
      </c>
      <c r="K16" s="35" t="s">
        <v>77</v>
      </c>
      <c r="L16" s="35" t="s">
        <v>48</v>
      </c>
      <c r="M16" s="35" t="s">
        <v>49</v>
      </c>
      <c r="N16" s="35" t="s">
        <v>111</v>
      </c>
      <c r="O16" s="35" t="s">
        <v>112</v>
      </c>
      <c r="P16" s="35" t="s">
        <v>80</v>
      </c>
    </row>
    <row r="17" spans="1:16" ht="15" customHeight="1" x14ac:dyDescent="0.25">
      <c r="A17" s="35" t="s">
        <v>71</v>
      </c>
      <c r="B17" s="35">
        <v>200</v>
      </c>
      <c r="C17" s="35" t="s">
        <v>41</v>
      </c>
      <c r="D17" s="35"/>
      <c r="E17" s="35" t="s">
        <v>113</v>
      </c>
      <c r="F17" s="35" t="s">
        <v>73</v>
      </c>
      <c r="G17" s="35" t="s">
        <v>114</v>
      </c>
      <c r="H17" s="35" t="s">
        <v>115</v>
      </c>
      <c r="I17" s="35" t="s">
        <v>85</v>
      </c>
      <c r="J17" s="35">
        <v>3</v>
      </c>
      <c r="K17" s="35" t="s">
        <v>77</v>
      </c>
      <c r="L17" s="35" t="s">
        <v>48</v>
      </c>
      <c r="M17" s="35" t="s">
        <v>49</v>
      </c>
      <c r="N17" s="35" t="s">
        <v>116</v>
      </c>
      <c r="O17" s="35" t="s">
        <v>117</v>
      </c>
      <c r="P17" s="35" t="s">
        <v>118</v>
      </c>
    </row>
    <row r="18" spans="1:16" ht="15" customHeight="1" x14ac:dyDescent="0.25">
      <c r="A18" s="35" t="s">
        <v>71</v>
      </c>
      <c r="B18" s="35">
        <v>200</v>
      </c>
      <c r="C18" s="35" t="s">
        <v>41</v>
      </c>
      <c r="D18" s="35"/>
      <c r="E18" s="35" t="s">
        <v>119</v>
      </c>
      <c r="F18" s="35" t="s">
        <v>73</v>
      </c>
      <c r="G18" s="35" t="s">
        <v>120</v>
      </c>
      <c r="H18" s="35" t="s">
        <v>115</v>
      </c>
      <c r="I18" s="35" t="s">
        <v>85</v>
      </c>
      <c r="J18" s="35">
        <v>8</v>
      </c>
      <c r="K18" s="35" t="s">
        <v>77</v>
      </c>
      <c r="L18" s="35" t="s">
        <v>48</v>
      </c>
      <c r="M18" s="35" t="s">
        <v>49</v>
      </c>
      <c r="N18" s="35" t="s">
        <v>121</v>
      </c>
      <c r="O18" s="35" t="s">
        <v>122</v>
      </c>
      <c r="P18" s="35" t="s">
        <v>118</v>
      </c>
    </row>
    <row r="19" spans="1:16" ht="15" customHeight="1" x14ac:dyDescent="0.25">
      <c r="A19" s="35" t="s">
        <v>71</v>
      </c>
      <c r="B19" s="35">
        <v>200</v>
      </c>
      <c r="C19" s="35" t="s">
        <v>41</v>
      </c>
      <c r="D19" s="35"/>
      <c r="E19" s="35" t="s">
        <v>123</v>
      </c>
      <c r="F19" s="35" t="s">
        <v>73</v>
      </c>
      <c r="G19" s="35" t="s">
        <v>124</v>
      </c>
      <c r="H19" s="35" t="s">
        <v>115</v>
      </c>
      <c r="I19" s="35" t="s">
        <v>85</v>
      </c>
      <c r="J19" s="35">
        <v>5</v>
      </c>
      <c r="K19" s="35" t="s">
        <v>77</v>
      </c>
      <c r="L19" s="35" t="s">
        <v>48</v>
      </c>
      <c r="M19" s="35" t="s">
        <v>49</v>
      </c>
      <c r="N19" s="35" t="s">
        <v>125</v>
      </c>
      <c r="O19" s="35" t="s">
        <v>126</v>
      </c>
      <c r="P19" s="35" t="s">
        <v>118</v>
      </c>
    </row>
    <row r="20" spans="1:16" ht="15" customHeight="1" x14ac:dyDescent="0.25">
      <c r="A20" s="35" t="s">
        <v>40</v>
      </c>
      <c r="B20" s="35">
        <v>300</v>
      </c>
      <c r="C20" s="35" t="s">
        <v>41</v>
      </c>
      <c r="D20" s="35"/>
      <c r="E20" s="35" t="s">
        <v>127</v>
      </c>
      <c r="F20" s="35" t="s">
        <v>73</v>
      </c>
      <c r="G20" s="35" t="s">
        <v>128</v>
      </c>
      <c r="H20" s="35" t="s">
        <v>129</v>
      </c>
      <c r="I20" s="35" t="s">
        <v>55</v>
      </c>
      <c r="J20" s="35">
        <v>1</v>
      </c>
      <c r="K20" s="35" t="s">
        <v>130</v>
      </c>
      <c r="L20" s="35" t="s">
        <v>131</v>
      </c>
      <c r="M20" s="35" t="s">
        <v>49</v>
      </c>
      <c r="N20" s="35" t="s">
        <v>132</v>
      </c>
      <c r="O20" s="35" t="s">
        <v>133</v>
      </c>
      <c r="P20" s="35" t="s">
        <v>134</v>
      </c>
    </row>
    <row r="21" spans="1:16" ht="15" customHeight="1" x14ac:dyDescent="0.25">
      <c r="A21" s="35" t="s">
        <v>40</v>
      </c>
      <c r="B21" s="35">
        <v>300</v>
      </c>
      <c r="C21" s="35" t="s">
        <v>41</v>
      </c>
      <c r="D21" s="35"/>
      <c r="E21" s="35" t="s">
        <v>135</v>
      </c>
      <c r="F21" s="35" t="s">
        <v>73</v>
      </c>
      <c r="G21" s="35" t="s">
        <v>136</v>
      </c>
      <c r="H21" s="35" t="s">
        <v>129</v>
      </c>
      <c r="I21" s="35" t="s">
        <v>55</v>
      </c>
      <c r="J21" s="35">
        <v>1</v>
      </c>
      <c r="K21" s="35" t="s">
        <v>130</v>
      </c>
      <c r="L21" s="35" t="s">
        <v>131</v>
      </c>
      <c r="M21" s="35" t="s">
        <v>49</v>
      </c>
      <c r="N21" s="35" t="s">
        <v>137</v>
      </c>
      <c r="O21" s="35" t="s">
        <v>138</v>
      </c>
      <c r="P21" s="35" t="s">
        <v>134</v>
      </c>
    </row>
    <row r="22" spans="1:16" ht="15" customHeight="1" x14ac:dyDescent="0.25">
      <c r="A22" s="35" t="s">
        <v>139</v>
      </c>
      <c r="B22" s="35">
        <v>100</v>
      </c>
      <c r="C22" s="35" t="s">
        <v>41</v>
      </c>
      <c r="D22" s="35"/>
      <c r="E22" s="35" t="s">
        <v>140</v>
      </c>
      <c r="F22" s="35" t="s">
        <v>43</v>
      </c>
      <c r="G22" s="35" t="s">
        <v>141</v>
      </c>
      <c r="H22" s="35" t="s">
        <v>142</v>
      </c>
      <c r="I22" s="35" t="s">
        <v>55</v>
      </c>
      <c r="J22" s="35">
        <v>1</v>
      </c>
      <c r="K22" s="35" t="s">
        <v>143</v>
      </c>
      <c r="L22" s="35" t="s">
        <v>144</v>
      </c>
      <c r="M22" s="35" t="s">
        <v>49</v>
      </c>
      <c r="N22" s="35" t="s">
        <v>145</v>
      </c>
      <c r="O22" s="35" t="s">
        <v>146</v>
      </c>
      <c r="P22" s="35" t="s">
        <v>147</v>
      </c>
    </row>
    <row r="23" spans="1:16" ht="15" customHeight="1" x14ac:dyDescent="0.25">
      <c r="A23" s="35" t="s">
        <v>139</v>
      </c>
      <c r="B23" s="35">
        <v>100</v>
      </c>
      <c r="C23" s="35" t="s">
        <v>41</v>
      </c>
      <c r="D23" s="35"/>
      <c r="E23" s="35" t="s">
        <v>148</v>
      </c>
      <c r="F23" s="35" t="s">
        <v>43</v>
      </c>
      <c r="G23" s="35" t="s">
        <v>149</v>
      </c>
      <c r="H23" s="35" t="s">
        <v>142</v>
      </c>
      <c r="I23" s="35" t="s">
        <v>46</v>
      </c>
      <c r="J23" s="35">
        <v>1</v>
      </c>
      <c r="K23" s="35" t="s">
        <v>143</v>
      </c>
      <c r="L23" s="35" t="s">
        <v>144</v>
      </c>
      <c r="M23" s="35" t="s">
        <v>49</v>
      </c>
      <c r="N23" s="35" t="s">
        <v>150</v>
      </c>
      <c r="O23" s="35" t="s">
        <v>151</v>
      </c>
      <c r="P23" s="35" t="s">
        <v>147</v>
      </c>
    </row>
    <row r="24" spans="1:16" ht="15" customHeight="1" x14ac:dyDescent="0.25">
      <c r="A24" s="35" t="s">
        <v>40</v>
      </c>
      <c r="B24" s="35">
        <v>300</v>
      </c>
      <c r="C24" s="35" t="s">
        <v>41</v>
      </c>
      <c r="D24" s="35"/>
      <c r="E24" s="35" t="s">
        <v>152</v>
      </c>
      <c r="F24" s="35" t="s">
        <v>43</v>
      </c>
      <c r="G24" s="35" t="s">
        <v>153</v>
      </c>
      <c r="H24" s="35" t="s">
        <v>129</v>
      </c>
      <c r="I24" s="35" t="s">
        <v>55</v>
      </c>
      <c r="J24" s="35">
        <v>1</v>
      </c>
      <c r="K24" s="35" t="s">
        <v>47</v>
      </c>
      <c r="L24" s="35" t="s">
        <v>48</v>
      </c>
      <c r="M24" s="35" t="s">
        <v>49</v>
      </c>
      <c r="N24" s="35" t="s">
        <v>154</v>
      </c>
      <c r="O24" s="35" t="s">
        <v>155</v>
      </c>
      <c r="P24" s="35" t="s">
        <v>156</v>
      </c>
    </row>
    <row r="25" spans="1:16" ht="15" customHeight="1" x14ac:dyDescent="0.25">
      <c r="A25" s="35" t="s">
        <v>139</v>
      </c>
      <c r="B25" s="35">
        <v>100</v>
      </c>
      <c r="C25" s="35" t="s">
        <v>41</v>
      </c>
      <c r="D25" s="35"/>
      <c r="E25" s="35" t="s">
        <v>157</v>
      </c>
      <c r="F25" s="35" t="s">
        <v>43</v>
      </c>
      <c r="G25" s="35" t="s">
        <v>158</v>
      </c>
      <c r="H25" s="35" t="s">
        <v>159</v>
      </c>
      <c r="I25" s="35" t="s">
        <v>60</v>
      </c>
      <c r="J25" s="35" t="s">
        <v>160</v>
      </c>
      <c r="K25" s="35" t="s">
        <v>161</v>
      </c>
      <c r="L25" s="35" t="s">
        <v>48</v>
      </c>
      <c r="M25" s="35" t="s">
        <v>49</v>
      </c>
      <c r="N25" s="35" t="s">
        <v>162</v>
      </c>
      <c r="O25" s="35" t="s">
        <v>163</v>
      </c>
      <c r="P25" s="35" t="s">
        <v>2001</v>
      </c>
    </row>
    <row r="26" spans="1:16" ht="15" customHeight="1" x14ac:dyDescent="0.25">
      <c r="A26" s="34" t="s">
        <v>139</v>
      </c>
      <c r="B26" s="34">
        <v>300</v>
      </c>
      <c r="C26" s="34" t="s">
        <v>41</v>
      </c>
      <c r="D26" s="34"/>
      <c r="E26" s="34" t="s">
        <v>1862</v>
      </c>
      <c r="F26" s="35" t="s">
        <v>43</v>
      </c>
      <c r="G26" s="34" t="s">
        <v>1863</v>
      </c>
      <c r="H26" s="35" t="s">
        <v>1864</v>
      </c>
      <c r="I26" s="34" t="s">
        <v>1865</v>
      </c>
      <c r="J26" s="34">
        <v>2</v>
      </c>
      <c r="K26" s="34" t="s">
        <v>1866</v>
      </c>
      <c r="L26" s="34" t="s">
        <v>48</v>
      </c>
      <c r="M26" s="34" t="s">
        <v>49</v>
      </c>
      <c r="N26" s="35" t="s">
        <v>1867</v>
      </c>
      <c r="O26" s="34" t="s">
        <v>1868</v>
      </c>
      <c r="P26" s="34" t="s">
        <v>2000</v>
      </c>
    </row>
    <row r="27" spans="1:16" ht="15" customHeight="1" x14ac:dyDescent="0.25">
      <c r="A27" s="50" t="s">
        <v>139</v>
      </c>
      <c r="B27" s="50">
        <v>300</v>
      </c>
      <c r="C27" s="50" t="s">
        <v>41</v>
      </c>
      <c r="D27" s="50"/>
      <c r="E27" s="50" t="s">
        <v>1872</v>
      </c>
      <c r="F27" s="51" t="s">
        <v>43</v>
      </c>
      <c r="G27" s="50" t="s">
        <v>1870</v>
      </c>
      <c r="H27" s="51" t="s">
        <v>1864</v>
      </c>
      <c r="I27" s="50" t="s">
        <v>1865</v>
      </c>
      <c r="J27" s="50">
        <v>2</v>
      </c>
      <c r="K27" s="50" t="s">
        <v>1866</v>
      </c>
      <c r="L27" s="50" t="s">
        <v>48</v>
      </c>
      <c r="M27" s="50" t="s">
        <v>49</v>
      </c>
      <c r="N27" s="51" t="s">
        <v>1871</v>
      </c>
      <c r="O27" s="50" t="s">
        <v>1869</v>
      </c>
      <c r="P27" s="34" t="s">
        <v>2000</v>
      </c>
    </row>
    <row r="28" spans="1:16" ht="15" customHeight="1" x14ac:dyDescent="0.25">
      <c r="A28" s="35" t="s">
        <v>139</v>
      </c>
      <c r="B28" s="35">
        <v>300</v>
      </c>
      <c r="C28" s="35" t="s">
        <v>41</v>
      </c>
      <c r="D28" s="35"/>
      <c r="E28" s="35" t="s">
        <v>1917</v>
      </c>
      <c r="F28" s="35" t="s">
        <v>43</v>
      </c>
      <c r="G28" s="35" t="s">
        <v>1918</v>
      </c>
      <c r="H28" s="35" t="s">
        <v>1864</v>
      </c>
      <c r="I28" s="35" t="s">
        <v>1865</v>
      </c>
      <c r="J28" s="35">
        <v>2</v>
      </c>
      <c r="K28" s="35" t="s">
        <v>1866</v>
      </c>
      <c r="L28" s="35" t="s">
        <v>48</v>
      </c>
      <c r="M28" s="35" t="s">
        <v>49</v>
      </c>
      <c r="N28" s="35" t="s">
        <v>1919</v>
      </c>
      <c r="O28" s="35" t="s">
        <v>1920</v>
      </c>
      <c r="P28" s="34" t="s">
        <v>2000</v>
      </c>
    </row>
    <row r="29" spans="1:16" ht="15" customHeight="1" x14ac:dyDescent="0.25">
      <c r="A29" s="51" t="s">
        <v>139</v>
      </c>
      <c r="B29" s="51">
        <v>300</v>
      </c>
      <c r="C29" s="51" t="s">
        <v>41</v>
      </c>
      <c r="D29" s="51"/>
      <c r="E29" s="51" t="s">
        <v>1921</v>
      </c>
      <c r="F29" s="51" t="s">
        <v>43</v>
      </c>
      <c r="G29" s="51" t="s">
        <v>1922</v>
      </c>
      <c r="H29" s="51" t="s">
        <v>1864</v>
      </c>
      <c r="I29" s="51" t="s">
        <v>1865</v>
      </c>
      <c r="J29" s="51">
        <v>2</v>
      </c>
      <c r="K29" s="51" t="s">
        <v>1866</v>
      </c>
      <c r="L29" s="51" t="s">
        <v>48</v>
      </c>
      <c r="M29" s="51" t="s">
        <v>49</v>
      </c>
      <c r="N29" s="51" t="s">
        <v>1923</v>
      </c>
      <c r="O29" s="51" t="s">
        <v>1924</v>
      </c>
      <c r="P29" s="34" t="s">
        <v>2000</v>
      </c>
    </row>
    <row r="30" spans="1:16" ht="15" customHeight="1" x14ac:dyDescent="0.25">
      <c r="A30" s="35" t="s">
        <v>139</v>
      </c>
      <c r="B30" s="35">
        <v>300</v>
      </c>
      <c r="C30" s="35" t="s">
        <v>41</v>
      </c>
      <c r="D30" s="35"/>
      <c r="E30" s="35" t="s">
        <v>1925</v>
      </c>
      <c r="F30" s="35" t="s">
        <v>43</v>
      </c>
      <c r="G30" s="35" t="s">
        <v>1926</v>
      </c>
      <c r="H30" s="35" t="s">
        <v>1864</v>
      </c>
      <c r="I30" s="35" t="s">
        <v>1927</v>
      </c>
      <c r="J30" s="35">
        <v>2</v>
      </c>
      <c r="K30" s="35" t="s">
        <v>1866</v>
      </c>
      <c r="L30" s="35" t="s">
        <v>48</v>
      </c>
      <c r="M30" s="35" t="s">
        <v>49</v>
      </c>
      <c r="N30" s="35" t="s">
        <v>1928</v>
      </c>
      <c r="O30" s="35" t="s">
        <v>1929</v>
      </c>
      <c r="P30" s="34" t="s">
        <v>2000</v>
      </c>
    </row>
    <row r="31" spans="1:16" ht="15" customHeight="1" x14ac:dyDescent="0.25">
      <c r="A31" s="51" t="s">
        <v>139</v>
      </c>
      <c r="B31" s="51">
        <v>300</v>
      </c>
      <c r="C31" s="51" t="s">
        <v>41</v>
      </c>
      <c r="D31" s="51"/>
      <c r="E31" s="51" t="s">
        <v>1930</v>
      </c>
      <c r="F31" s="51" t="s">
        <v>43</v>
      </c>
      <c r="G31" s="51" t="s">
        <v>1931</v>
      </c>
      <c r="H31" s="51" t="s">
        <v>1864</v>
      </c>
      <c r="I31" s="51" t="s">
        <v>1927</v>
      </c>
      <c r="J31" s="51">
        <v>2</v>
      </c>
      <c r="K31" s="51" t="s">
        <v>1866</v>
      </c>
      <c r="L31" s="51" t="s">
        <v>48</v>
      </c>
      <c r="M31" s="51" t="s">
        <v>49</v>
      </c>
      <c r="N31" s="51" t="s">
        <v>1932</v>
      </c>
      <c r="O31" s="51" t="s">
        <v>1933</v>
      </c>
      <c r="P31" s="34" t="s">
        <v>2000</v>
      </c>
    </row>
  </sheetData>
  <phoneticPr fontId="18" type="noConversion"/>
  <pageMargins left="0.79" right="0.79" top="0.98" bottom="0.98" header="0.47" footer="0.47"/>
  <pageSetup paperSize="8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E2419"/>
  <sheetViews>
    <sheetView zoomScale="55" zoomScaleNormal="55" workbookViewId="0">
      <pane xSplit="1" topLeftCell="E1" activePane="topRight" state="frozen"/>
      <selection pane="topRight" activeCell="H1" sqref="H1:R1048576"/>
    </sheetView>
  </sheetViews>
  <sheetFormatPr defaultColWidth="9.140625" defaultRowHeight="15" x14ac:dyDescent="0.25"/>
  <cols>
    <col min="1" max="1" width="40.5703125" style="15" customWidth="1"/>
    <col min="2" max="2" width="1.85546875" style="31" customWidth="1"/>
    <col min="3" max="24" width="16.140625" style="28" bestFit="1" customWidth="1"/>
    <col min="25" max="30" width="16.140625" style="28" customWidth="1"/>
    <col min="31" max="31" width="29.42578125" style="28" bestFit="1" customWidth="1"/>
    <col min="32" max="16384" width="9.140625" style="30"/>
  </cols>
  <sheetData>
    <row r="1" spans="1:31" s="40" customFormat="1" x14ac:dyDescent="0.25">
      <c r="A1" s="39"/>
      <c r="C1" s="37" t="s">
        <v>39</v>
      </c>
      <c r="D1" t="s">
        <v>165</v>
      </c>
      <c r="E1" t="s">
        <v>166</v>
      </c>
      <c r="F1" t="s">
        <v>167</v>
      </c>
      <c r="G1" t="s">
        <v>168</v>
      </c>
      <c r="H1" s="37" t="s">
        <v>169</v>
      </c>
      <c r="I1" s="37" t="s">
        <v>170</v>
      </c>
      <c r="J1" s="37" t="s">
        <v>171</v>
      </c>
      <c r="K1" s="37" t="s">
        <v>172</v>
      </c>
      <c r="L1" s="37" t="s">
        <v>173</v>
      </c>
      <c r="M1" s="37" t="s">
        <v>174</v>
      </c>
      <c r="N1" s="37" t="s">
        <v>175</v>
      </c>
      <c r="O1" s="37" t="s">
        <v>176</v>
      </c>
      <c r="P1" s="37" t="s">
        <v>177</v>
      </c>
      <c r="Q1" s="37" t="s">
        <v>178</v>
      </c>
      <c r="R1" s="37" t="s">
        <v>179</v>
      </c>
      <c r="S1" t="s">
        <v>180</v>
      </c>
      <c r="T1" t="s">
        <v>181</v>
      </c>
      <c r="U1" t="s">
        <v>182</v>
      </c>
      <c r="V1" t="s">
        <v>183</v>
      </c>
      <c r="W1" t="s">
        <v>184</v>
      </c>
      <c r="X1" s="37" t="s">
        <v>185</v>
      </c>
      <c r="Y1" t="s">
        <v>1897</v>
      </c>
      <c r="Z1" t="s">
        <v>1898</v>
      </c>
      <c r="AA1" t="s">
        <v>1934</v>
      </c>
      <c r="AB1" t="s">
        <v>1935</v>
      </c>
      <c r="AC1" t="s">
        <v>1936</v>
      </c>
      <c r="AD1" t="s">
        <v>1937</v>
      </c>
      <c r="AE1"/>
    </row>
    <row r="2" spans="1:31" s="40" customFormat="1" x14ac:dyDescent="0.25">
      <c r="A2" s="39"/>
      <c r="C2" s="37" t="s">
        <v>51</v>
      </c>
      <c r="D2" t="s">
        <v>57</v>
      </c>
      <c r="E2" t="s">
        <v>62</v>
      </c>
      <c r="F2" t="s">
        <v>66</v>
      </c>
      <c r="G2" t="s">
        <v>70</v>
      </c>
      <c r="H2" s="37" t="s">
        <v>79</v>
      </c>
      <c r="I2" s="37" t="s">
        <v>87</v>
      </c>
      <c r="J2" s="37" t="s">
        <v>91</v>
      </c>
      <c r="K2" s="37" t="s">
        <v>96</v>
      </c>
      <c r="L2" s="37" t="s">
        <v>100</v>
      </c>
      <c r="M2" s="37" t="s">
        <v>104</v>
      </c>
      <c r="N2" s="37" t="s">
        <v>108</v>
      </c>
      <c r="O2" s="37" t="s">
        <v>112</v>
      </c>
      <c r="P2" s="37" t="s">
        <v>117</v>
      </c>
      <c r="Q2" s="37" t="s">
        <v>122</v>
      </c>
      <c r="R2" s="37" t="s">
        <v>126</v>
      </c>
      <c r="S2" t="s">
        <v>133</v>
      </c>
      <c r="T2" t="s">
        <v>138</v>
      </c>
      <c r="U2" t="s">
        <v>146</v>
      </c>
      <c r="V2" t="s">
        <v>151</v>
      </c>
      <c r="W2" t="s">
        <v>155</v>
      </c>
      <c r="X2" s="37" t="s">
        <v>163</v>
      </c>
      <c r="Y2" t="s">
        <v>1868</v>
      </c>
      <c r="Z2" t="s">
        <v>1869</v>
      </c>
      <c r="AA2" t="s">
        <v>1920</v>
      </c>
      <c r="AB2" t="s">
        <v>1924</v>
      </c>
      <c r="AC2" t="s">
        <v>1929</v>
      </c>
      <c r="AD2" t="s">
        <v>1933</v>
      </c>
      <c r="AE2"/>
    </row>
    <row r="3" spans="1:31" s="28" customFormat="1" x14ac:dyDescent="0.25">
      <c r="A3" s="39"/>
      <c r="B3" s="40"/>
    </row>
    <row r="4" spans="1:31" s="28" customFormat="1" x14ac:dyDescent="0.25">
      <c r="A4" s="39"/>
      <c r="B4" s="40"/>
      <c r="C4" s="28" t="s">
        <v>366</v>
      </c>
      <c r="D4" s="28" t="s">
        <v>366</v>
      </c>
      <c r="E4" s="28" t="s">
        <v>366</v>
      </c>
      <c r="F4" s="28" t="s">
        <v>366</v>
      </c>
      <c r="G4" s="28" t="s">
        <v>366</v>
      </c>
      <c r="H4" s="28" t="s">
        <v>366</v>
      </c>
      <c r="I4" s="28" t="s">
        <v>366</v>
      </c>
      <c r="J4" s="28" t="s">
        <v>366</v>
      </c>
      <c r="K4" s="28" t="s">
        <v>366</v>
      </c>
      <c r="L4" s="28" t="s">
        <v>366</v>
      </c>
      <c r="M4" s="28" t="s">
        <v>366</v>
      </c>
      <c r="N4" s="28" t="s">
        <v>366</v>
      </c>
      <c r="O4" s="28" t="s">
        <v>366</v>
      </c>
      <c r="P4" s="28" t="s">
        <v>366</v>
      </c>
      <c r="Q4" s="28" t="s">
        <v>366</v>
      </c>
      <c r="R4" s="28" t="s">
        <v>366</v>
      </c>
      <c r="S4" s="28" t="s">
        <v>366</v>
      </c>
      <c r="T4" s="28" t="s">
        <v>366</v>
      </c>
      <c r="U4" s="28" t="s">
        <v>366</v>
      </c>
      <c r="V4" s="28" t="s">
        <v>366</v>
      </c>
      <c r="W4" s="28" t="s">
        <v>366</v>
      </c>
      <c r="X4" s="28" t="s">
        <v>366</v>
      </c>
      <c r="Y4" s="28" t="s">
        <v>366</v>
      </c>
      <c r="Z4" s="28" t="s">
        <v>366</v>
      </c>
      <c r="AA4" s="28" t="s">
        <v>366</v>
      </c>
      <c r="AB4" s="28" t="s">
        <v>366</v>
      </c>
      <c r="AC4" s="28" t="s">
        <v>366</v>
      </c>
      <c r="AD4" s="28" t="s">
        <v>366</v>
      </c>
    </row>
    <row r="5" spans="1:31" s="27" customFormat="1" x14ac:dyDescent="0.25">
      <c r="A5" s="25"/>
      <c r="B5" s="26"/>
      <c r="C5" s="29" t="s">
        <v>186</v>
      </c>
      <c r="D5" s="29" t="s">
        <v>367</v>
      </c>
      <c r="E5" s="29" t="s">
        <v>206</v>
      </c>
      <c r="F5" s="29" t="s">
        <v>206</v>
      </c>
      <c r="G5" s="29" t="s">
        <v>367</v>
      </c>
      <c r="H5" s="28" t="s">
        <v>622</v>
      </c>
      <c r="I5" s="28" t="s">
        <v>622</v>
      </c>
      <c r="J5" s="28" t="s">
        <v>622</v>
      </c>
      <c r="K5" s="28" t="s">
        <v>652</v>
      </c>
      <c r="L5" s="28" t="s">
        <v>622</v>
      </c>
      <c r="M5" s="28" t="s">
        <v>622</v>
      </c>
      <c r="N5" s="28" t="s">
        <v>652</v>
      </c>
      <c r="O5" s="28" t="s">
        <v>622</v>
      </c>
      <c r="P5" s="28" t="s">
        <v>652</v>
      </c>
      <c r="Q5" s="28" t="s">
        <v>243</v>
      </c>
      <c r="R5" s="28" t="s">
        <v>652</v>
      </c>
      <c r="S5" s="29" t="s">
        <v>1522</v>
      </c>
      <c r="T5" s="29" t="s">
        <v>1522</v>
      </c>
      <c r="U5" s="29" t="s">
        <v>1573</v>
      </c>
      <c r="V5" s="29" t="s">
        <v>1573</v>
      </c>
      <c r="W5" s="29" t="s">
        <v>1522</v>
      </c>
      <c r="X5" s="28" t="s">
        <v>1573</v>
      </c>
      <c r="Y5" s="29" t="s">
        <v>622</v>
      </c>
      <c r="Z5" s="29" t="s">
        <v>622</v>
      </c>
      <c r="AA5" s="29" t="s">
        <v>622</v>
      </c>
      <c r="AB5" s="29" t="s">
        <v>622</v>
      </c>
      <c r="AC5" s="29" t="s">
        <v>622</v>
      </c>
      <c r="AD5" s="29" t="s">
        <v>622</v>
      </c>
      <c r="AE5" s="29"/>
    </row>
    <row r="6" spans="1:31" x14ac:dyDescent="0.25">
      <c r="A6" s="25"/>
      <c r="B6" s="26"/>
      <c r="C6" s="29" t="s">
        <v>187</v>
      </c>
      <c r="D6" s="29" t="s">
        <v>368</v>
      </c>
      <c r="E6" s="29"/>
      <c r="F6" s="29"/>
      <c r="G6" s="29" t="s">
        <v>368</v>
      </c>
      <c r="H6" s="28" t="s">
        <v>623</v>
      </c>
      <c r="I6" s="28" t="s">
        <v>623</v>
      </c>
      <c r="J6" s="28" t="s">
        <v>623</v>
      </c>
      <c r="K6" s="28" t="s">
        <v>244</v>
      </c>
      <c r="L6" s="28" t="s">
        <v>623</v>
      </c>
      <c r="M6" s="28" t="s">
        <v>623</v>
      </c>
      <c r="N6" s="28" t="s">
        <v>212</v>
      </c>
      <c r="O6" s="28" t="s">
        <v>623</v>
      </c>
      <c r="P6" s="28" t="s">
        <v>160</v>
      </c>
      <c r="Q6" s="28" t="s">
        <v>212</v>
      </c>
      <c r="R6" s="28" t="s">
        <v>212</v>
      </c>
      <c r="S6" s="29"/>
      <c r="T6" s="29"/>
      <c r="U6" s="29"/>
      <c r="V6" s="29"/>
      <c r="W6" s="29"/>
      <c r="Y6" s="29" t="s">
        <v>623</v>
      </c>
      <c r="Z6" s="29" t="s">
        <v>623</v>
      </c>
      <c r="AA6" s="29" t="s">
        <v>623</v>
      </c>
      <c r="AB6" s="29" t="s">
        <v>623</v>
      </c>
      <c r="AC6" s="29" t="s">
        <v>623</v>
      </c>
      <c r="AD6" s="29" t="s">
        <v>623</v>
      </c>
      <c r="AE6" s="29"/>
    </row>
    <row r="7" spans="1:31" x14ac:dyDescent="0.25">
      <c r="A7" s="25"/>
      <c r="B7" s="26"/>
      <c r="C7" s="29"/>
      <c r="D7" s="29"/>
      <c r="E7" s="29" t="s">
        <v>192</v>
      </c>
      <c r="F7" s="29" t="s">
        <v>190</v>
      </c>
      <c r="G7" s="29"/>
      <c r="H7" s="28" t="s">
        <v>624</v>
      </c>
      <c r="I7" s="28" t="s">
        <v>624</v>
      </c>
      <c r="J7" s="28" t="s">
        <v>624</v>
      </c>
      <c r="K7" s="28" t="s">
        <v>419</v>
      </c>
      <c r="L7" s="28" t="s">
        <v>624</v>
      </c>
      <c r="M7" s="28" t="s">
        <v>624</v>
      </c>
      <c r="N7" s="28" t="s">
        <v>243</v>
      </c>
      <c r="O7" s="28" t="s">
        <v>624</v>
      </c>
      <c r="P7" s="28" t="s">
        <v>545</v>
      </c>
      <c r="Q7" s="28" t="s">
        <v>160</v>
      </c>
      <c r="R7" s="28" t="s">
        <v>243</v>
      </c>
      <c r="S7" s="29" t="s">
        <v>190</v>
      </c>
      <c r="T7" s="29" t="s">
        <v>190</v>
      </c>
      <c r="U7" s="29" t="s">
        <v>187</v>
      </c>
      <c r="V7" s="29" t="s">
        <v>187</v>
      </c>
      <c r="W7" s="29" t="s">
        <v>1672</v>
      </c>
      <c r="X7" s="28" t="s">
        <v>368</v>
      </c>
      <c r="Y7" s="29" t="s">
        <v>624</v>
      </c>
      <c r="Z7" s="29" t="s">
        <v>624</v>
      </c>
      <c r="AA7" s="29" t="s">
        <v>624</v>
      </c>
      <c r="AB7" s="29" t="s">
        <v>624</v>
      </c>
      <c r="AC7" s="29" t="s">
        <v>624</v>
      </c>
      <c r="AD7" s="29" t="s">
        <v>624</v>
      </c>
      <c r="AE7" s="29"/>
    </row>
    <row r="8" spans="1:31" x14ac:dyDescent="0.25">
      <c r="A8" s="25"/>
      <c r="B8" s="26"/>
      <c r="C8" s="29" t="s">
        <v>188</v>
      </c>
      <c r="D8" s="29" t="s">
        <v>186</v>
      </c>
      <c r="E8" s="29"/>
      <c r="F8" s="29"/>
      <c r="G8" s="29" t="s">
        <v>186</v>
      </c>
      <c r="H8" s="28" t="s">
        <v>625</v>
      </c>
      <c r="I8" s="28" t="s">
        <v>625</v>
      </c>
      <c r="J8" s="28" t="s">
        <v>625</v>
      </c>
      <c r="K8" s="28" t="s">
        <v>378</v>
      </c>
      <c r="L8" s="28" t="s">
        <v>625</v>
      </c>
      <c r="M8" s="28" t="s">
        <v>625</v>
      </c>
      <c r="N8" s="28" t="s">
        <v>378</v>
      </c>
      <c r="O8" s="28" t="s">
        <v>625</v>
      </c>
      <c r="P8" s="28" t="s">
        <v>378</v>
      </c>
      <c r="R8" s="28" t="s">
        <v>378</v>
      </c>
      <c r="S8" s="29"/>
      <c r="T8" s="29"/>
      <c r="U8" s="29"/>
      <c r="V8" s="29"/>
      <c r="W8" s="29" t="s">
        <v>527</v>
      </c>
      <c r="Y8" s="29" t="s">
        <v>625</v>
      </c>
      <c r="Z8" s="29" t="s">
        <v>625</v>
      </c>
      <c r="AA8" s="29" t="s">
        <v>625</v>
      </c>
      <c r="AB8" s="29" t="s">
        <v>625</v>
      </c>
      <c r="AC8" s="29" t="s">
        <v>625</v>
      </c>
      <c r="AD8" s="29" t="s">
        <v>625</v>
      </c>
      <c r="AE8" s="29"/>
    </row>
    <row r="9" spans="1:31" x14ac:dyDescent="0.25">
      <c r="A9" s="25"/>
      <c r="B9" s="26"/>
      <c r="C9" s="29" t="s">
        <v>189</v>
      </c>
      <c r="D9" s="29" t="s">
        <v>187</v>
      </c>
      <c r="E9" s="29" t="s">
        <v>193</v>
      </c>
      <c r="F9" s="29" t="s">
        <v>191</v>
      </c>
      <c r="G9" s="29" t="s">
        <v>187</v>
      </c>
      <c r="H9" s="28" t="s">
        <v>626</v>
      </c>
      <c r="I9" s="28" t="s">
        <v>626</v>
      </c>
      <c r="J9" s="28" t="s">
        <v>626</v>
      </c>
      <c r="K9" s="28" t="s">
        <v>212</v>
      </c>
      <c r="L9" s="28" t="s">
        <v>626</v>
      </c>
      <c r="M9" s="28" t="s">
        <v>626</v>
      </c>
      <c r="N9" s="28" t="s">
        <v>212</v>
      </c>
      <c r="O9" s="28" t="s">
        <v>626</v>
      </c>
      <c r="P9" s="28" t="s">
        <v>212</v>
      </c>
      <c r="Q9" s="28" t="s">
        <v>243</v>
      </c>
      <c r="R9" s="28" t="s">
        <v>212</v>
      </c>
      <c r="S9" s="29" t="s">
        <v>191</v>
      </c>
      <c r="T9" s="29" t="s">
        <v>191</v>
      </c>
      <c r="U9" s="29" t="s">
        <v>527</v>
      </c>
      <c r="V9" s="29" t="s">
        <v>527</v>
      </c>
      <c r="W9" s="29"/>
      <c r="X9" s="28" t="s">
        <v>703</v>
      </c>
      <c r="Y9" s="29" t="s">
        <v>626</v>
      </c>
      <c r="Z9" s="29" t="s">
        <v>626</v>
      </c>
      <c r="AA9" s="29" t="s">
        <v>626</v>
      </c>
      <c r="AB9" s="29" t="s">
        <v>626</v>
      </c>
      <c r="AC9" s="29" t="s">
        <v>626</v>
      </c>
      <c r="AD9" s="29" t="s">
        <v>626</v>
      </c>
      <c r="AE9" s="29"/>
    </row>
    <row r="10" spans="1:31" x14ac:dyDescent="0.25">
      <c r="A10" s="25"/>
      <c r="B10" s="26"/>
      <c r="C10" s="29"/>
      <c r="D10" s="29"/>
      <c r="E10" s="29"/>
      <c r="F10" s="29"/>
      <c r="G10" s="29"/>
      <c r="H10" s="28" t="s">
        <v>627</v>
      </c>
      <c r="I10" s="28" t="s">
        <v>627</v>
      </c>
      <c r="J10" s="28" t="s">
        <v>627</v>
      </c>
      <c r="K10" s="28" t="s">
        <v>285</v>
      </c>
      <c r="L10" s="28" t="s">
        <v>627</v>
      </c>
      <c r="M10" s="28" t="s">
        <v>627</v>
      </c>
      <c r="N10" s="28" t="s">
        <v>285</v>
      </c>
      <c r="O10" s="28" t="s">
        <v>627</v>
      </c>
      <c r="P10" s="28" t="s">
        <v>285</v>
      </c>
      <c r="Q10" s="28" t="s">
        <v>212</v>
      </c>
      <c r="R10" s="28" t="s">
        <v>285</v>
      </c>
      <c r="S10" s="29"/>
      <c r="T10" s="29"/>
      <c r="U10" s="29"/>
      <c r="V10" s="29"/>
      <c r="W10" s="29" t="s">
        <v>1673</v>
      </c>
      <c r="Y10" s="29" t="s">
        <v>627</v>
      </c>
      <c r="Z10" s="29" t="s">
        <v>627</v>
      </c>
      <c r="AA10" s="29" t="s">
        <v>627</v>
      </c>
      <c r="AB10" s="29" t="s">
        <v>627</v>
      </c>
      <c r="AC10" s="29" t="s">
        <v>627</v>
      </c>
      <c r="AD10" s="29" t="s">
        <v>627</v>
      </c>
      <c r="AE10" s="29"/>
    </row>
    <row r="11" spans="1:31" x14ac:dyDescent="0.25">
      <c r="A11" s="25"/>
      <c r="B11" s="26"/>
      <c r="C11" s="29" t="s">
        <v>190</v>
      </c>
      <c r="D11" s="29" t="s">
        <v>188</v>
      </c>
      <c r="E11" s="29" t="s">
        <v>194</v>
      </c>
      <c r="F11" s="29" t="s">
        <v>380</v>
      </c>
      <c r="G11" s="29" t="s">
        <v>188</v>
      </c>
      <c r="H11" s="28" t="s">
        <v>628</v>
      </c>
      <c r="I11" s="28" t="s">
        <v>628</v>
      </c>
      <c r="J11" s="28" t="s">
        <v>628</v>
      </c>
      <c r="K11" s="28" t="s">
        <v>419</v>
      </c>
      <c r="L11" s="28" t="s">
        <v>628</v>
      </c>
      <c r="M11" s="28" t="s">
        <v>628</v>
      </c>
      <c r="N11" s="28" t="s">
        <v>419</v>
      </c>
      <c r="O11" s="28" t="s">
        <v>628</v>
      </c>
      <c r="P11" s="28" t="s">
        <v>419</v>
      </c>
      <c r="Q11" s="28" t="s">
        <v>160</v>
      </c>
      <c r="R11" s="28" t="s">
        <v>419</v>
      </c>
      <c r="S11" s="29" t="s">
        <v>225</v>
      </c>
      <c r="T11" s="29" t="s">
        <v>225</v>
      </c>
      <c r="U11" s="29" t="s">
        <v>1574</v>
      </c>
      <c r="V11" s="29" t="s">
        <v>1659</v>
      </c>
      <c r="W11" s="29" t="s">
        <v>1674</v>
      </c>
      <c r="X11" s="28" t="s">
        <v>1722</v>
      </c>
      <c r="Y11" s="29" t="s">
        <v>628</v>
      </c>
      <c r="Z11" s="29" t="s">
        <v>628</v>
      </c>
      <c r="AA11" s="29" t="s">
        <v>628</v>
      </c>
      <c r="AB11" s="29" t="s">
        <v>628</v>
      </c>
      <c r="AC11" s="29" t="s">
        <v>628</v>
      </c>
      <c r="AD11" s="29" t="s">
        <v>628</v>
      </c>
      <c r="AE11" s="29"/>
    </row>
    <row r="12" spans="1:31" x14ac:dyDescent="0.25">
      <c r="A12" s="25"/>
      <c r="B12" s="26"/>
      <c r="C12" s="29"/>
      <c r="D12" s="29" t="s">
        <v>189</v>
      </c>
      <c r="E12" s="29"/>
      <c r="F12" s="29" t="s">
        <v>380</v>
      </c>
      <c r="G12" s="29" t="s">
        <v>189</v>
      </c>
      <c r="H12" s="28" t="s">
        <v>629</v>
      </c>
      <c r="I12" s="28" t="s">
        <v>629</v>
      </c>
      <c r="J12" s="28" t="s">
        <v>629</v>
      </c>
      <c r="K12" s="28" t="s">
        <v>424</v>
      </c>
      <c r="L12" s="28" t="s">
        <v>629</v>
      </c>
      <c r="M12" s="28" t="s">
        <v>629</v>
      </c>
      <c r="N12" s="28" t="s">
        <v>424</v>
      </c>
      <c r="O12" s="28" t="s">
        <v>629</v>
      </c>
      <c r="P12" s="28" t="s">
        <v>160</v>
      </c>
      <c r="R12" s="28" t="s">
        <v>160</v>
      </c>
      <c r="S12" s="29"/>
      <c r="T12" s="29"/>
      <c r="U12" s="29"/>
      <c r="V12" s="29"/>
      <c r="W12" s="29"/>
      <c r="Y12" s="29" t="s">
        <v>629</v>
      </c>
      <c r="Z12" s="29" t="s">
        <v>629</v>
      </c>
      <c r="AA12" s="29" t="s">
        <v>629</v>
      </c>
      <c r="AB12" s="29" t="s">
        <v>629</v>
      </c>
      <c r="AC12" s="29" t="s">
        <v>629</v>
      </c>
      <c r="AD12" s="29" t="s">
        <v>629</v>
      </c>
      <c r="AE12" s="29"/>
    </row>
    <row r="13" spans="1:31" x14ac:dyDescent="0.25">
      <c r="A13" s="25"/>
      <c r="B13" s="26"/>
      <c r="C13" s="29" t="s">
        <v>191</v>
      </c>
      <c r="D13" s="29"/>
      <c r="E13" s="29" t="s">
        <v>196</v>
      </c>
      <c r="F13" s="29"/>
      <c r="G13" s="29"/>
      <c r="H13" s="28" t="s">
        <v>630</v>
      </c>
      <c r="I13" s="28" t="s">
        <v>630</v>
      </c>
      <c r="J13" s="28" t="s">
        <v>630</v>
      </c>
      <c r="K13" s="28" t="s">
        <v>378</v>
      </c>
      <c r="L13" s="28" t="s">
        <v>630</v>
      </c>
      <c r="M13" s="28" t="s">
        <v>630</v>
      </c>
      <c r="N13" s="28" t="s">
        <v>378</v>
      </c>
      <c r="O13" s="28" t="s">
        <v>630</v>
      </c>
      <c r="P13" s="28" t="s">
        <v>378</v>
      </c>
      <c r="Q13" s="28" t="s">
        <v>1392</v>
      </c>
      <c r="R13" s="28" t="s">
        <v>378</v>
      </c>
      <c r="S13" s="29" t="s">
        <v>207</v>
      </c>
      <c r="T13" s="29" t="s">
        <v>192</v>
      </c>
      <c r="U13" s="29" t="s">
        <v>708</v>
      </c>
      <c r="V13" s="29" t="s">
        <v>708</v>
      </c>
      <c r="W13" s="29" t="s">
        <v>1675</v>
      </c>
      <c r="X13" s="28" t="s">
        <v>187</v>
      </c>
      <c r="Y13" s="29" t="s">
        <v>630</v>
      </c>
      <c r="Z13" s="29" t="s">
        <v>630</v>
      </c>
      <c r="AA13" s="29" t="s">
        <v>630</v>
      </c>
      <c r="AB13" s="29" t="s">
        <v>630</v>
      </c>
      <c r="AC13" s="29" t="s">
        <v>630</v>
      </c>
      <c r="AD13" s="29" t="s">
        <v>630</v>
      </c>
      <c r="AE13" s="29"/>
    </row>
    <row r="14" spans="1:31" x14ac:dyDescent="0.25">
      <c r="A14" s="25"/>
      <c r="B14" s="26"/>
      <c r="C14" s="29"/>
      <c r="D14" s="29" t="s">
        <v>190</v>
      </c>
      <c r="E14" s="29" t="s">
        <v>197</v>
      </c>
      <c r="F14" s="29" t="s">
        <v>192</v>
      </c>
      <c r="G14" s="29" t="s">
        <v>190</v>
      </c>
      <c r="H14" s="28" t="s">
        <v>631</v>
      </c>
      <c r="I14" s="28" t="s">
        <v>631</v>
      </c>
      <c r="J14" s="28" t="s">
        <v>631</v>
      </c>
      <c r="K14" s="28" t="s">
        <v>160</v>
      </c>
      <c r="L14" s="28" t="s">
        <v>631</v>
      </c>
      <c r="M14" s="28" t="s">
        <v>631</v>
      </c>
      <c r="N14" s="28" t="s">
        <v>160</v>
      </c>
      <c r="O14" s="28" t="s">
        <v>631</v>
      </c>
      <c r="P14" s="28" t="s">
        <v>243</v>
      </c>
      <c r="R14" s="28" t="s">
        <v>424</v>
      </c>
      <c r="S14" s="29"/>
      <c r="T14" s="29"/>
      <c r="U14" s="29" t="s">
        <v>709</v>
      </c>
      <c r="V14" s="29" t="s">
        <v>709</v>
      </c>
      <c r="W14" s="29" t="s">
        <v>1676</v>
      </c>
      <c r="Y14" s="29" t="s">
        <v>631</v>
      </c>
      <c r="Z14" s="29" t="s">
        <v>631</v>
      </c>
      <c r="AA14" s="29" t="s">
        <v>631</v>
      </c>
      <c r="AB14" s="29" t="s">
        <v>631</v>
      </c>
      <c r="AC14" s="29" t="s">
        <v>631</v>
      </c>
      <c r="AD14" s="29" t="s">
        <v>631</v>
      </c>
      <c r="AE14" s="29"/>
    </row>
    <row r="15" spans="1:31" x14ac:dyDescent="0.25">
      <c r="A15" s="25"/>
      <c r="B15" s="26"/>
      <c r="C15" s="29" t="s">
        <v>192</v>
      </c>
      <c r="D15" s="29"/>
      <c r="E15" s="29" t="s">
        <v>198</v>
      </c>
      <c r="F15" s="29"/>
      <c r="G15" s="29"/>
      <c r="H15" s="28" t="s">
        <v>632</v>
      </c>
      <c r="I15" s="28" t="s">
        <v>632</v>
      </c>
      <c r="J15" s="28" t="s">
        <v>632</v>
      </c>
      <c r="K15" s="28" t="s">
        <v>424</v>
      </c>
      <c r="L15" s="28" t="s">
        <v>632</v>
      </c>
      <c r="M15" s="28" t="s">
        <v>632</v>
      </c>
      <c r="N15" s="28" t="s">
        <v>424</v>
      </c>
      <c r="O15" s="28" t="s">
        <v>632</v>
      </c>
      <c r="P15" s="28" t="s">
        <v>244</v>
      </c>
      <c r="Q15" s="28" t="s">
        <v>545</v>
      </c>
      <c r="R15" s="28" t="s">
        <v>419</v>
      </c>
      <c r="S15" s="29" t="s">
        <v>208</v>
      </c>
      <c r="T15" s="29" t="s">
        <v>193</v>
      </c>
      <c r="U15" s="29" t="s">
        <v>706</v>
      </c>
      <c r="V15" s="29" t="s">
        <v>706</v>
      </c>
      <c r="W15" s="29"/>
      <c r="X15" s="28" t="s">
        <v>527</v>
      </c>
      <c r="Y15" s="29" t="s">
        <v>632</v>
      </c>
      <c r="Z15" s="29" t="s">
        <v>632</v>
      </c>
      <c r="AA15" s="29" t="s">
        <v>632</v>
      </c>
      <c r="AB15" s="29" t="s">
        <v>632</v>
      </c>
      <c r="AC15" s="29" t="s">
        <v>632</v>
      </c>
      <c r="AD15" s="29" t="s">
        <v>632</v>
      </c>
      <c r="AE15" s="29"/>
    </row>
    <row r="16" spans="1:31" x14ac:dyDescent="0.25">
      <c r="A16" s="25"/>
      <c r="B16" s="26"/>
      <c r="C16" s="29"/>
      <c r="D16" s="29" t="s">
        <v>191</v>
      </c>
      <c r="E16" s="29"/>
      <c r="F16" s="29" t="s">
        <v>193</v>
      </c>
      <c r="G16" s="29" t="s">
        <v>191</v>
      </c>
      <c r="H16" s="28" t="s">
        <v>633</v>
      </c>
      <c r="I16" s="28" t="s">
        <v>633</v>
      </c>
      <c r="J16" s="28" t="s">
        <v>633</v>
      </c>
      <c r="K16" s="28" t="s">
        <v>212</v>
      </c>
      <c r="L16" s="28" t="s">
        <v>633</v>
      </c>
      <c r="M16" s="28" t="s">
        <v>633</v>
      </c>
      <c r="N16" s="28" t="s">
        <v>285</v>
      </c>
      <c r="O16" s="28" t="s">
        <v>633</v>
      </c>
      <c r="P16" s="28" t="s">
        <v>419</v>
      </c>
      <c r="Q16" s="28" t="s">
        <v>285</v>
      </c>
      <c r="R16" s="28" t="s">
        <v>212</v>
      </c>
      <c r="S16" s="29" t="s">
        <v>209</v>
      </c>
      <c r="T16" s="29"/>
      <c r="U16" s="29" t="s">
        <v>707</v>
      </c>
      <c r="V16" s="29" t="s">
        <v>707</v>
      </c>
      <c r="W16" s="29" t="s">
        <v>1677</v>
      </c>
      <c r="Y16" s="29" t="s">
        <v>633</v>
      </c>
      <c r="Z16" s="29" t="s">
        <v>633</v>
      </c>
      <c r="AA16" s="29" t="s">
        <v>633</v>
      </c>
      <c r="AB16" s="29" t="s">
        <v>633</v>
      </c>
      <c r="AC16" s="29" t="s">
        <v>633</v>
      </c>
      <c r="AD16" s="29" t="s">
        <v>633</v>
      </c>
      <c r="AE16" s="29"/>
    </row>
    <row r="17" spans="1:31" x14ac:dyDescent="0.25">
      <c r="A17" s="25"/>
      <c r="B17" s="26"/>
      <c r="C17" s="29" t="s">
        <v>193</v>
      </c>
      <c r="D17" s="29"/>
      <c r="E17" s="29" t="s">
        <v>199</v>
      </c>
      <c r="F17" s="29"/>
      <c r="G17" s="29"/>
      <c r="H17" s="28" t="s">
        <v>634</v>
      </c>
      <c r="I17" s="28" t="s">
        <v>634</v>
      </c>
      <c r="J17" s="28" t="s">
        <v>634</v>
      </c>
      <c r="K17" s="28" t="s">
        <v>545</v>
      </c>
      <c r="L17" s="28" t="s">
        <v>634</v>
      </c>
      <c r="M17" s="28" t="s">
        <v>634</v>
      </c>
      <c r="N17" s="28" t="s">
        <v>160</v>
      </c>
      <c r="O17" s="28" t="s">
        <v>634</v>
      </c>
      <c r="P17" s="28" t="s">
        <v>212</v>
      </c>
      <c r="Q17" s="28" t="s">
        <v>244</v>
      </c>
      <c r="R17" s="28" t="s">
        <v>422</v>
      </c>
      <c r="S17" s="29"/>
      <c r="T17" s="29" t="s">
        <v>194</v>
      </c>
      <c r="U17" s="29" t="s">
        <v>160</v>
      </c>
      <c r="V17" s="29" t="s">
        <v>160</v>
      </c>
      <c r="W17" s="29"/>
      <c r="X17" s="28" t="s">
        <v>1723</v>
      </c>
      <c r="Y17" s="29" t="s">
        <v>634</v>
      </c>
      <c r="Z17" s="29" t="s">
        <v>634</v>
      </c>
      <c r="AA17" s="29" t="s">
        <v>634</v>
      </c>
      <c r="AB17" s="29" t="s">
        <v>634</v>
      </c>
      <c r="AC17" s="29" t="s">
        <v>634</v>
      </c>
      <c r="AD17" s="29" t="s">
        <v>634</v>
      </c>
      <c r="AE17" s="29"/>
    </row>
    <row r="18" spans="1:31" x14ac:dyDescent="0.25">
      <c r="A18" s="25"/>
      <c r="B18" s="26"/>
      <c r="C18" s="29"/>
      <c r="D18" s="29" t="s">
        <v>192</v>
      </c>
      <c r="E18" s="29"/>
      <c r="F18" s="29" t="s">
        <v>194</v>
      </c>
      <c r="G18" s="29" t="s">
        <v>192</v>
      </c>
      <c r="H18" s="28" t="s">
        <v>635</v>
      </c>
      <c r="I18" s="28" t="s">
        <v>635</v>
      </c>
      <c r="J18" s="28" t="s">
        <v>635</v>
      </c>
      <c r="K18" s="28" t="s">
        <v>378</v>
      </c>
      <c r="L18" s="28" t="s">
        <v>635</v>
      </c>
      <c r="M18" s="28" t="s">
        <v>635</v>
      </c>
      <c r="N18" s="28" t="s">
        <v>378</v>
      </c>
      <c r="O18" s="28" t="s">
        <v>635</v>
      </c>
      <c r="P18" s="28" t="s">
        <v>378</v>
      </c>
      <c r="R18" s="28" t="s">
        <v>378</v>
      </c>
      <c r="S18" s="29" t="s">
        <v>192</v>
      </c>
      <c r="T18" s="29"/>
      <c r="U18" s="29"/>
      <c r="V18" s="29"/>
      <c r="W18" s="29" t="s">
        <v>1577</v>
      </c>
      <c r="X18" s="28" t="s">
        <v>1724</v>
      </c>
      <c r="Y18" s="29" t="s">
        <v>635</v>
      </c>
      <c r="Z18" s="29" t="s">
        <v>635</v>
      </c>
      <c r="AA18" s="29" t="s">
        <v>635</v>
      </c>
      <c r="AB18" s="29" t="s">
        <v>635</v>
      </c>
      <c r="AC18" s="29" t="s">
        <v>635</v>
      </c>
      <c r="AD18" s="29" t="s">
        <v>635</v>
      </c>
      <c r="AE18" s="29"/>
    </row>
    <row r="19" spans="1:31" x14ac:dyDescent="0.25">
      <c r="A19" s="25"/>
      <c r="B19" s="26"/>
      <c r="C19" s="29" t="s">
        <v>194</v>
      </c>
      <c r="D19" s="29"/>
      <c r="E19" s="29" t="s">
        <v>200</v>
      </c>
      <c r="F19" s="29"/>
      <c r="G19" s="29"/>
      <c r="H19" s="28" t="s">
        <v>636</v>
      </c>
      <c r="I19" s="28" t="s">
        <v>636</v>
      </c>
      <c r="J19" s="28" t="s">
        <v>636</v>
      </c>
      <c r="K19" s="28" t="s">
        <v>160</v>
      </c>
      <c r="L19" s="28" t="s">
        <v>636</v>
      </c>
      <c r="M19" s="28" t="s">
        <v>636</v>
      </c>
      <c r="N19" s="28" t="s">
        <v>160</v>
      </c>
      <c r="O19" s="28" t="s">
        <v>636</v>
      </c>
      <c r="P19" s="28" t="s">
        <v>160</v>
      </c>
      <c r="Q19" s="28" t="s">
        <v>1393</v>
      </c>
      <c r="R19" s="28" t="s">
        <v>160</v>
      </c>
      <c r="S19" s="29"/>
      <c r="T19" s="29" t="s">
        <v>195</v>
      </c>
      <c r="U19" s="29" t="s">
        <v>687</v>
      </c>
      <c r="V19" s="29" t="s">
        <v>687</v>
      </c>
      <c r="W19" s="29"/>
      <c r="X19" s="28" t="s">
        <v>1725</v>
      </c>
      <c r="Y19" s="29" t="s">
        <v>636</v>
      </c>
      <c r="Z19" s="29" t="s">
        <v>636</v>
      </c>
      <c r="AA19" s="29" t="s">
        <v>636</v>
      </c>
      <c r="AB19" s="29" t="s">
        <v>636</v>
      </c>
      <c r="AC19" s="29" t="s">
        <v>636</v>
      </c>
      <c r="AD19" s="29" t="s">
        <v>636</v>
      </c>
      <c r="AE19" s="29"/>
    </row>
    <row r="20" spans="1:31" x14ac:dyDescent="0.25">
      <c r="A20" s="25"/>
      <c r="B20" s="26"/>
      <c r="C20" s="29"/>
      <c r="D20" s="29" t="s">
        <v>193</v>
      </c>
      <c r="E20" s="29"/>
      <c r="F20" s="29" t="s">
        <v>195</v>
      </c>
      <c r="G20" s="29" t="s">
        <v>193</v>
      </c>
      <c r="K20" s="28" t="s">
        <v>652</v>
      </c>
      <c r="N20" s="28" t="s">
        <v>652</v>
      </c>
      <c r="P20" s="28" t="s">
        <v>652</v>
      </c>
      <c r="R20" s="28" t="s">
        <v>652</v>
      </c>
      <c r="S20" s="29" t="s">
        <v>193</v>
      </c>
      <c r="T20" s="29"/>
      <c r="U20" s="29"/>
      <c r="V20" s="29"/>
      <c r="W20" s="29" t="s">
        <v>1678</v>
      </c>
      <c r="Y20" s="29"/>
      <c r="Z20" s="29"/>
      <c r="AA20" s="29"/>
      <c r="AB20" s="29"/>
      <c r="AC20" s="29"/>
      <c r="AD20" s="29"/>
      <c r="AE20" s="29"/>
    </row>
    <row r="21" spans="1:31" x14ac:dyDescent="0.25">
      <c r="A21" s="25"/>
      <c r="B21" s="26"/>
      <c r="C21" s="29" t="s">
        <v>195</v>
      </c>
      <c r="D21" s="29"/>
      <c r="E21" s="29" t="s">
        <v>203</v>
      </c>
      <c r="F21" s="29"/>
      <c r="G21" s="29"/>
      <c r="H21" s="28" t="s">
        <v>637</v>
      </c>
      <c r="I21" s="28" t="s">
        <v>637</v>
      </c>
      <c r="J21" s="28" t="s">
        <v>637</v>
      </c>
      <c r="L21" s="28" t="s">
        <v>637</v>
      </c>
      <c r="M21" s="28" t="s">
        <v>637</v>
      </c>
      <c r="O21" s="28" t="s">
        <v>637</v>
      </c>
      <c r="Q21" s="28" t="s">
        <v>422</v>
      </c>
      <c r="S21" s="29"/>
      <c r="T21" s="29" t="s">
        <v>205</v>
      </c>
      <c r="U21" s="29" t="s">
        <v>686</v>
      </c>
      <c r="V21" s="29" t="s">
        <v>686</v>
      </c>
      <c r="W21" s="29" t="s">
        <v>1679</v>
      </c>
      <c r="X21" s="28" t="s">
        <v>708</v>
      </c>
      <c r="Y21" s="29" t="s">
        <v>637</v>
      </c>
      <c r="Z21" s="29" t="s">
        <v>637</v>
      </c>
      <c r="AA21" s="29" t="s">
        <v>637</v>
      </c>
      <c r="AB21" s="29" t="s">
        <v>637</v>
      </c>
      <c r="AC21" s="29" t="s">
        <v>637</v>
      </c>
      <c r="AD21" s="29" t="s">
        <v>637</v>
      </c>
      <c r="AE21" s="29"/>
    </row>
    <row r="22" spans="1:31" x14ac:dyDescent="0.25">
      <c r="A22" s="25"/>
      <c r="B22" s="26"/>
      <c r="C22" s="29"/>
      <c r="D22" s="29" t="s">
        <v>194</v>
      </c>
      <c r="E22" s="29"/>
      <c r="F22" s="29" t="s">
        <v>205</v>
      </c>
      <c r="G22" s="29" t="s">
        <v>194</v>
      </c>
      <c r="H22" s="28" t="s">
        <v>638</v>
      </c>
      <c r="I22" s="28" t="s">
        <v>638</v>
      </c>
      <c r="J22" s="28" t="s">
        <v>638</v>
      </c>
      <c r="K22" s="28" t="s">
        <v>1005</v>
      </c>
      <c r="L22" s="28" t="s">
        <v>638</v>
      </c>
      <c r="M22" s="28" t="s">
        <v>638</v>
      </c>
      <c r="N22" s="28" t="s">
        <v>684</v>
      </c>
      <c r="O22" s="28" t="s">
        <v>638</v>
      </c>
      <c r="P22" s="28" t="s">
        <v>1329</v>
      </c>
      <c r="Q22" s="28" t="s">
        <v>422</v>
      </c>
      <c r="R22" s="28" t="s">
        <v>245</v>
      </c>
      <c r="S22" s="29" t="s">
        <v>194</v>
      </c>
      <c r="T22" s="29"/>
      <c r="U22" s="29"/>
      <c r="V22" s="29"/>
      <c r="W22" s="29"/>
      <c r="X22" s="28" t="s">
        <v>709</v>
      </c>
      <c r="Y22" s="29" t="s">
        <v>638</v>
      </c>
      <c r="Z22" s="29" t="s">
        <v>638</v>
      </c>
      <c r="AA22" s="29" t="s">
        <v>638</v>
      </c>
      <c r="AB22" s="29" t="s">
        <v>638</v>
      </c>
      <c r="AC22" s="29" t="s">
        <v>638</v>
      </c>
      <c r="AD22" s="29" t="s">
        <v>638</v>
      </c>
      <c r="AE22" s="29"/>
    </row>
    <row r="23" spans="1:31" x14ac:dyDescent="0.25">
      <c r="A23" s="25"/>
      <c r="B23" s="26"/>
      <c r="C23" s="29" t="s">
        <v>196</v>
      </c>
      <c r="D23" s="29"/>
      <c r="E23" s="29" t="s">
        <v>204</v>
      </c>
      <c r="F23" s="29"/>
      <c r="G23" s="29"/>
      <c r="H23" s="28" t="s">
        <v>639</v>
      </c>
      <c r="I23" s="28" t="s">
        <v>639</v>
      </c>
      <c r="J23" s="28" t="s">
        <v>639</v>
      </c>
      <c r="K23" s="28" t="s">
        <v>677</v>
      </c>
      <c r="L23" s="28" t="s">
        <v>639</v>
      </c>
      <c r="M23" s="28" t="s">
        <v>639</v>
      </c>
      <c r="N23" s="28" t="s">
        <v>196</v>
      </c>
      <c r="O23" s="28" t="s">
        <v>639</v>
      </c>
      <c r="R23" s="28" t="s">
        <v>246</v>
      </c>
      <c r="S23" s="29"/>
      <c r="T23" s="29" t="s">
        <v>202</v>
      </c>
      <c r="U23" s="29" t="s">
        <v>1575</v>
      </c>
      <c r="V23" s="29" t="s">
        <v>1660</v>
      </c>
      <c r="W23" s="29" t="s">
        <v>1680</v>
      </c>
      <c r="X23" s="28" t="s">
        <v>706</v>
      </c>
      <c r="Y23" s="29" t="s">
        <v>639</v>
      </c>
      <c r="Z23" s="29" t="s">
        <v>639</v>
      </c>
      <c r="AA23" s="29" t="s">
        <v>639</v>
      </c>
      <c r="AB23" s="29" t="s">
        <v>639</v>
      </c>
      <c r="AC23" s="29" t="s">
        <v>639</v>
      </c>
      <c r="AD23" s="29" t="s">
        <v>639</v>
      </c>
      <c r="AE23" s="29"/>
    </row>
    <row r="24" spans="1:31" x14ac:dyDescent="0.25">
      <c r="A24" s="25"/>
      <c r="B24" s="26"/>
      <c r="C24" s="29" t="s">
        <v>197</v>
      </c>
      <c r="D24" s="29" t="s">
        <v>195</v>
      </c>
      <c r="E24" s="29"/>
      <c r="F24" s="29" t="s">
        <v>202</v>
      </c>
      <c r="G24" s="29" t="s">
        <v>195</v>
      </c>
      <c r="H24" s="28" t="s">
        <v>640</v>
      </c>
      <c r="I24" s="28" t="s">
        <v>640</v>
      </c>
      <c r="J24" s="28" t="s">
        <v>640</v>
      </c>
      <c r="L24" s="28" t="s">
        <v>640</v>
      </c>
      <c r="M24" s="28" t="s">
        <v>640</v>
      </c>
      <c r="O24" s="28" t="s">
        <v>640</v>
      </c>
      <c r="P24" s="28" t="s">
        <v>954</v>
      </c>
      <c r="Q24" s="28" t="s">
        <v>212</v>
      </c>
      <c r="R24" s="28" t="s">
        <v>247</v>
      </c>
      <c r="S24" s="29" t="s">
        <v>195</v>
      </c>
      <c r="T24" s="29"/>
      <c r="U24" s="29"/>
      <c r="V24" s="29"/>
      <c r="W24" s="29"/>
      <c r="X24" s="28" t="s">
        <v>707</v>
      </c>
      <c r="Y24" s="29" t="s">
        <v>640</v>
      </c>
      <c r="Z24" s="29" t="s">
        <v>640</v>
      </c>
      <c r="AA24" s="29" t="s">
        <v>640</v>
      </c>
      <c r="AB24" s="29" t="s">
        <v>640</v>
      </c>
      <c r="AC24" s="29" t="s">
        <v>640</v>
      </c>
      <c r="AD24" s="29" t="s">
        <v>640</v>
      </c>
      <c r="AE24" s="29"/>
    </row>
    <row r="25" spans="1:31" x14ac:dyDescent="0.25">
      <c r="A25" s="25"/>
      <c r="B25" s="26"/>
      <c r="C25" s="29" t="s">
        <v>198</v>
      </c>
      <c r="D25" s="29"/>
      <c r="E25" s="29" t="s">
        <v>205</v>
      </c>
      <c r="F25" s="29"/>
      <c r="G25" s="29"/>
      <c r="H25" s="28" t="s">
        <v>641</v>
      </c>
      <c r="I25" s="28" t="s">
        <v>641</v>
      </c>
      <c r="J25" s="28" t="s">
        <v>641</v>
      </c>
      <c r="K25" s="28" t="s">
        <v>1051</v>
      </c>
      <c r="L25" s="28" t="s">
        <v>641</v>
      </c>
      <c r="M25" s="28" t="s">
        <v>641</v>
      </c>
      <c r="N25" s="28" t="s">
        <v>685</v>
      </c>
      <c r="O25" s="28" t="s">
        <v>641</v>
      </c>
      <c r="R25" s="28" t="s">
        <v>248</v>
      </c>
      <c r="S25" s="29"/>
      <c r="T25" s="29" t="s">
        <v>203</v>
      </c>
      <c r="U25" s="29" t="s">
        <v>729</v>
      </c>
      <c r="V25" s="29" t="s">
        <v>729</v>
      </c>
      <c r="W25" s="29" t="s">
        <v>380</v>
      </c>
      <c r="X25" s="28" t="s">
        <v>160</v>
      </c>
      <c r="Y25" s="29" t="s">
        <v>641</v>
      </c>
      <c r="Z25" s="29" t="s">
        <v>641</v>
      </c>
      <c r="AA25" s="29" t="s">
        <v>641</v>
      </c>
      <c r="AB25" s="29" t="s">
        <v>641</v>
      </c>
      <c r="AC25" s="29" t="s">
        <v>641</v>
      </c>
      <c r="AD25" s="29" t="s">
        <v>641</v>
      </c>
      <c r="AE25" s="29"/>
    </row>
    <row r="26" spans="1:31" x14ac:dyDescent="0.25">
      <c r="A26" s="25"/>
      <c r="B26" s="26"/>
      <c r="C26" s="29"/>
      <c r="D26" s="29" t="s">
        <v>205</v>
      </c>
      <c r="E26" s="29"/>
      <c r="F26" s="29" t="s">
        <v>203</v>
      </c>
      <c r="G26" s="29" t="s">
        <v>205</v>
      </c>
      <c r="H26" s="28" t="s">
        <v>642</v>
      </c>
      <c r="I26" s="28" t="s">
        <v>642</v>
      </c>
      <c r="J26" s="28" t="s">
        <v>642</v>
      </c>
      <c r="L26" s="28" t="s">
        <v>642</v>
      </c>
      <c r="M26" s="28" t="s">
        <v>642</v>
      </c>
      <c r="O26" s="28" t="s">
        <v>642</v>
      </c>
      <c r="P26" s="28" t="s">
        <v>160</v>
      </c>
      <c r="Q26" s="28" t="s">
        <v>1394</v>
      </c>
      <c r="R26" s="28" t="s">
        <v>245</v>
      </c>
      <c r="S26" s="29" t="s">
        <v>214</v>
      </c>
      <c r="T26" s="29"/>
      <c r="U26" s="29" t="s">
        <v>730</v>
      </c>
      <c r="V26" s="29" t="s">
        <v>730</v>
      </c>
      <c r="W26" s="29"/>
      <c r="X26" s="28" t="s">
        <v>160</v>
      </c>
      <c r="Y26" s="29" t="s">
        <v>642</v>
      </c>
      <c r="Z26" s="29" t="s">
        <v>642</v>
      </c>
      <c r="AA26" s="29" t="s">
        <v>642</v>
      </c>
      <c r="AB26" s="29" t="s">
        <v>642</v>
      </c>
      <c r="AC26" s="29" t="s">
        <v>642</v>
      </c>
      <c r="AD26" s="29" t="s">
        <v>642</v>
      </c>
      <c r="AE26" s="29"/>
    </row>
    <row r="27" spans="1:31" x14ac:dyDescent="0.25">
      <c r="A27" s="25"/>
      <c r="B27" s="26"/>
      <c r="C27" s="29" t="s">
        <v>199</v>
      </c>
      <c r="D27" s="29"/>
      <c r="E27" s="29" t="s">
        <v>202</v>
      </c>
      <c r="F27" s="29"/>
      <c r="G27" s="29"/>
      <c r="H27" s="28" t="s">
        <v>643</v>
      </c>
      <c r="I27" s="28" t="s">
        <v>643</v>
      </c>
      <c r="J27" s="28" t="s">
        <v>643</v>
      </c>
      <c r="K27" s="28" t="s">
        <v>864</v>
      </c>
      <c r="L27" s="28" t="s">
        <v>643</v>
      </c>
      <c r="M27" s="28" t="s">
        <v>643</v>
      </c>
      <c r="N27" s="28" t="s">
        <v>688</v>
      </c>
      <c r="O27" s="28" t="s">
        <v>643</v>
      </c>
      <c r="R27" s="28" t="s">
        <v>249</v>
      </c>
      <c r="S27" s="29" t="s">
        <v>1523</v>
      </c>
      <c r="T27" s="29" t="s">
        <v>204</v>
      </c>
      <c r="U27" s="29" t="s">
        <v>703</v>
      </c>
      <c r="V27" s="29" t="s">
        <v>703</v>
      </c>
      <c r="W27" s="29" t="s">
        <v>1681</v>
      </c>
      <c r="X27" s="28" t="s">
        <v>160</v>
      </c>
      <c r="Y27" s="29" t="s">
        <v>643</v>
      </c>
      <c r="Z27" s="29" t="s">
        <v>643</v>
      </c>
      <c r="AA27" s="29" t="s">
        <v>643</v>
      </c>
      <c r="AB27" s="29" t="s">
        <v>643</v>
      </c>
      <c r="AC27" s="29" t="s">
        <v>643</v>
      </c>
      <c r="AD27" s="29" t="s">
        <v>643</v>
      </c>
      <c r="AE27" s="29"/>
    </row>
    <row r="28" spans="1:31" x14ac:dyDescent="0.25">
      <c r="A28" s="25"/>
      <c r="B28" s="26"/>
      <c r="C28" s="29"/>
      <c r="D28" s="29" t="s">
        <v>202</v>
      </c>
      <c r="E28" s="29"/>
      <c r="F28" s="29" t="s">
        <v>204</v>
      </c>
      <c r="G28" s="29" t="s">
        <v>202</v>
      </c>
      <c r="H28" s="28" t="s">
        <v>644</v>
      </c>
      <c r="I28" s="28" t="s">
        <v>644</v>
      </c>
      <c r="J28" s="28" t="s">
        <v>644</v>
      </c>
      <c r="L28" s="28" t="s">
        <v>644</v>
      </c>
      <c r="M28" s="28" t="s">
        <v>644</v>
      </c>
      <c r="O28" s="28" t="s">
        <v>644</v>
      </c>
      <c r="P28" s="28" t="s">
        <v>160</v>
      </c>
      <c r="Q28" s="28" t="s">
        <v>766</v>
      </c>
      <c r="R28" s="28" t="s">
        <v>247</v>
      </c>
      <c r="S28" s="29" t="s">
        <v>370</v>
      </c>
      <c r="T28" s="29"/>
      <c r="U28" s="29" t="s">
        <v>728</v>
      </c>
      <c r="V28" s="29" t="s">
        <v>728</v>
      </c>
      <c r="W28" s="29"/>
      <c r="Y28" s="29" t="s">
        <v>644</v>
      </c>
      <c r="Z28" s="29" t="s">
        <v>644</v>
      </c>
      <c r="AA28" s="29" t="s">
        <v>644</v>
      </c>
      <c r="AB28" s="29" t="s">
        <v>644</v>
      </c>
      <c r="AC28" s="29" t="s">
        <v>644</v>
      </c>
      <c r="AD28" s="29" t="s">
        <v>644</v>
      </c>
      <c r="AE28" s="29"/>
    </row>
    <row r="29" spans="1:31" x14ac:dyDescent="0.25">
      <c r="A29" s="25"/>
      <c r="B29" s="26"/>
      <c r="C29" s="29" t="s">
        <v>200</v>
      </c>
      <c r="D29" s="29"/>
      <c r="E29" s="29" t="s">
        <v>367</v>
      </c>
      <c r="F29" s="29"/>
      <c r="G29" s="29"/>
      <c r="H29" s="28" t="s">
        <v>645</v>
      </c>
      <c r="I29" s="28" t="s">
        <v>645</v>
      </c>
      <c r="J29" s="28" t="s">
        <v>645</v>
      </c>
      <c r="K29" s="28" t="s">
        <v>1052</v>
      </c>
      <c r="L29" s="28" t="s">
        <v>645</v>
      </c>
      <c r="M29" s="28" t="s">
        <v>645</v>
      </c>
      <c r="N29" s="28" t="s">
        <v>198</v>
      </c>
      <c r="O29" s="28" t="s">
        <v>645</v>
      </c>
      <c r="R29" s="28" t="s">
        <v>250</v>
      </c>
      <c r="S29" s="29"/>
      <c r="T29" s="29" t="s">
        <v>199</v>
      </c>
      <c r="U29" s="29" t="s">
        <v>225</v>
      </c>
      <c r="V29" s="29" t="s">
        <v>225</v>
      </c>
      <c r="W29" s="29" t="s">
        <v>208</v>
      </c>
      <c r="X29" s="28" t="s">
        <v>687</v>
      </c>
      <c r="Y29" s="29" t="s">
        <v>645</v>
      </c>
      <c r="Z29" s="29" t="s">
        <v>645</v>
      </c>
      <c r="AA29" s="29" t="s">
        <v>645</v>
      </c>
      <c r="AB29" s="29" t="s">
        <v>645</v>
      </c>
      <c r="AC29" s="29" t="s">
        <v>645</v>
      </c>
      <c r="AD29" s="29" t="s">
        <v>645</v>
      </c>
      <c r="AE29" s="29"/>
    </row>
    <row r="30" spans="1:31" x14ac:dyDescent="0.25">
      <c r="A30" s="25"/>
      <c r="B30" s="26"/>
      <c r="C30" s="29"/>
      <c r="D30" s="29" t="s">
        <v>203</v>
      </c>
      <c r="E30" s="29" t="s">
        <v>368</v>
      </c>
      <c r="F30" s="29" t="s">
        <v>199</v>
      </c>
      <c r="G30" s="29" t="s">
        <v>203</v>
      </c>
      <c r="H30" s="28" t="s">
        <v>646</v>
      </c>
      <c r="I30" s="28" t="s">
        <v>646</v>
      </c>
      <c r="J30" s="28" t="s">
        <v>646</v>
      </c>
      <c r="L30" s="28" t="s">
        <v>646</v>
      </c>
      <c r="M30" s="28" t="s">
        <v>646</v>
      </c>
      <c r="O30" s="28" t="s">
        <v>646</v>
      </c>
      <c r="P30" s="28" t="s">
        <v>212</v>
      </c>
      <c r="Q30" s="28" t="s">
        <v>652</v>
      </c>
      <c r="R30" s="28" t="s">
        <v>251</v>
      </c>
      <c r="S30" s="29" t="s">
        <v>1524</v>
      </c>
      <c r="T30" s="29"/>
      <c r="U30" s="29"/>
      <c r="V30" s="29"/>
      <c r="W30" s="29" t="s">
        <v>1682</v>
      </c>
      <c r="Y30" s="29" t="s">
        <v>646</v>
      </c>
      <c r="Z30" s="29" t="s">
        <v>646</v>
      </c>
      <c r="AA30" s="29" t="s">
        <v>646</v>
      </c>
      <c r="AB30" s="29" t="s">
        <v>646</v>
      </c>
      <c r="AC30" s="29" t="s">
        <v>646</v>
      </c>
      <c r="AD30" s="29" t="s">
        <v>646</v>
      </c>
      <c r="AE30" s="29"/>
    </row>
    <row r="31" spans="1:31" x14ac:dyDescent="0.25">
      <c r="A31" s="25"/>
      <c r="B31" s="26"/>
      <c r="C31" s="29" t="s">
        <v>201</v>
      </c>
      <c r="D31" s="29"/>
      <c r="E31" s="29"/>
      <c r="F31" s="29"/>
      <c r="G31" s="29"/>
      <c r="H31" s="28" t="s">
        <v>647</v>
      </c>
      <c r="I31" s="28" t="s">
        <v>647</v>
      </c>
      <c r="J31" s="28" t="s">
        <v>647</v>
      </c>
      <c r="K31" s="28" t="s">
        <v>285</v>
      </c>
      <c r="L31" s="28" t="s">
        <v>647</v>
      </c>
      <c r="M31" s="28" t="s">
        <v>647</v>
      </c>
      <c r="N31" s="28" t="s">
        <v>214</v>
      </c>
      <c r="O31" s="28" t="s">
        <v>647</v>
      </c>
      <c r="Q31" s="28" t="s">
        <v>160</v>
      </c>
      <c r="R31" s="28" t="s">
        <v>245</v>
      </c>
      <c r="S31" s="29"/>
      <c r="T31" s="29" t="s">
        <v>200</v>
      </c>
      <c r="U31" s="29" t="s">
        <v>1576</v>
      </c>
      <c r="V31" s="29" t="s">
        <v>1576</v>
      </c>
      <c r="W31" s="29"/>
      <c r="X31" s="28" t="s">
        <v>686</v>
      </c>
      <c r="Y31" s="29" t="s">
        <v>647</v>
      </c>
      <c r="Z31" s="29" t="s">
        <v>647</v>
      </c>
      <c r="AA31" s="29" t="s">
        <v>647</v>
      </c>
      <c r="AB31" s="29" t="s">
        <v>647</v>
      </c>
      <c r="AC31" s="29" t="s">
        <v>647</v>
      </c>
      <c r="AD31" s="29" t="s">
        <v>647</v>
      </c>
      <c r="AE31" s="29"/>
    </row>
    <row r="32" spans="1:31" x14ac:dyDescent="0.25">
      <c r="A32" s="25"/>
      <c r="B32" s="26"/>
      <c r="C32" s="29"/>
      <c r="D32" s="29" t="s">
        <v>204</v>
      </c>
      <c r="E32" s="29" t="s">
        <v>278</v>
      </c>
      <c r="F32" s="29" t="s">
        <v>200</v>
      </c>
      <c r="G32" s="29" t="s">
        <v>204</v>
      </c>
      <c r="H32" s="28" t="s">
        <v>648</v>
      </c>
      <c r="I32" s="28" t="s">
        <v>648</v>
      </c>
      <c r="J32" s="28" t="s">
        <v>648</v>
      </c>
      <c r="L32" s="28" t="s">
        <v>648</v>
      </c>
      <c r="M32" s="28" t="s">
        <v>648</v>
      </c>
      <c r="O32" s="28" t="s">
        <v>648</v>
      </c>
      <c r="P32" s="28" t="s">
        <v>545</v>
      </c>
      <c r="Q32" s="28" t="s">
        <v>243</v>
      </c>
      <c r="R32" s="28" t="s">
        <v>252</v>
      </c>
      <c r="S32" s="29" t="s">
        <v>216</v>
      </c>
      <c r="T32" s="29"/>
      <c r="U32" s="29"/>
      <c r="V32" s="29"/>
      <c r="W32" s="29" t="s">
        <v>207</v>
      </c>
      <c r="Y32" s="29" t="s">
        <v>648</v>
      </c>
      <c r="Z32" s="29" t="s">
        <v>648</v>
      </c>
      <c r="AA32" s="29" t="s">
        <v>648</v>
      </c>
      <c r="AB32" s="29" t="s">
        <v>648</v>
      </c>
      <c r="AC32" s="29" t="s">
        <v>648</v>
      </c>
      <c r="AD32" s="29" t="s">
        <v>648</v>
      </c>
      <c r="AE32" s="29"/>
    </row>
    <row r="33" spans="1:31" x14ac:dyDescent="0.25">
      <c r="A33" s="25"/>
      <c r="B33" s="26"/>
      <c r="C33" s="29" t="s">
        <v>202</v>
      </c>
      <c r="D33" s="29"/>
      <c r="E33" s="29"/>
      <c r="F33" s="29"/>
      <c r="G33" s="29"/>
      <c r="H33" s="28" t="s">
        <v>649</v>
      </c>
      <c r="I33" s="28" t="s">
        <v>649</v>
      </c>
      <c r="J33" s="28" t="s">
        <v>649</v>
      </c>
      <c r="K33" s="28" t="s">
        <v>424</v>
      </c>
      <c r="L33" s="28" t="s">
        <v>649</v>
      </c>
      <c r="M33" s="28" t="s">
        <v>649</v>
      </c>
      <c r="N33" s="28" t="s">
        <v>283</v>
      </c>
      <c r="O33" s="28" t="s">
        <v>649</v>
      </c>
      <c r="P33" s="28" t="s">
        <v>285</v>
      </c>
      <c r="Q33" s="28" t="s">
        <v>378</v>
      </c>
      <c r="S33" s="29"/>
      <c r="T33" s="29" t="s">
        <v>196</v>
      </c>
      <c r="U33" s="29" t="s">
        <v>727</v>
      </c>
      <c r="V33" s="29" t="s">
        <v>727</v>
      </c>
      <c r="W33" s="29"/>
      <c r="X33" s="28" t="s">
        <v>1726</v>
      </c>
      <c r="Y33" s="29" t="s">
        <v>649</v>
      </c>
      <c r="Z33" s="29" t="s">
        <v>649</v>
      </c>
      <c r="AA33" s="29" t="s">
        <v>649</v>
      </c>
      <c r="AB33" s="29" t="s">
        <v>649</v>
      </c>
      <c r="AC33" s="29" t="s">
        <v>649</v>
      </c>
      <c r="AD33" s="29" t="s">
        <v>649</v>
      </c>
      <c r="AE33" s="29"/>
    </row>
    <row r="34" spans="1:31" x14ac:dyDescent="0.25">
      <c r="A34" s="25"/>
      <c r="B34" s="26"/>
      <c r="C34" s="29"/>
      <c r="D34" s="29" t="s">
        <v>199</v>
      </c>
      <c r="E34" s="29" t="s">
        <v>186</v>
      </c>
      <c r="F34" s="29" t="s">
        <v>196</v>
      </c>
      <c r="G34" s="29" t="s">
        <v>199</v>
      </c>
      <c r="H34" s="28" t="s">
        <v>650</v>
      </c>
      <c r="I34" s="28" t="s">
        <v>650</v>
      </c>
      <c r="J34" s="28" t="s">
        <v>650</v>
      </c>
      <c r="K34" s="28" t="s">
        <v>212</v>
      </c>
      <c r="L34" s="28" t="s">
        <v>650</v>
      </c>
      <c r="M34" s="28" t="s">
        <v>650</v>
      </c>
      <c r="O34" s="28" t="s">
        <v>650</v>
      </c>
      <c r="P34" s="28" t="s">
        <v>160</v>
      </c>
      <c r="Q34" s="28" t="s">
        <v>212</v>
      </c>
      <c r="R34" s="28" t="s">
        <v>253</v>
      </c>
      <c r="S34" s="29" t="s">
        <v>160</v>
      </c>
      <c r="T34" s="29" t="s">
        <v>197</v>
      </c>
      <c r="U34" s="29"/>
      <c r="V34" s="29"/>
      <c r="W34" s="29" t="s">
        <v>1683</v>
      </c>
      <c r="X34" s="28" t="s">
        <v>1727</v>
      </c>
      <c r="Y34" s="29" t="s">
        <v>650</v>
      </c>
      <c r="Z34" s="29" t="s">
        <v>650</v>
      </c>
      <c r="AA34" s="29" t="s">
        <v>650</v>
      </c>
      <c r="AB34" s="29" t="s">
        <v>650</v>
      </c>
      <c r="AC34" s="29" t="s">
        <v>650</v>
      </c>
      <c r="AD34" s="29" t="s">
        <v>650</v>
      </c>
      <c r="AE34" s="29"/>
    </row>
    <row r="35" spans="1:31" x14ac:dyDescent="0.25">
      <c r="A35" s="25"/>
      <c r="B35" s="26"/>
      <c r="C35" s="29" t="s">
        <v>203</v>
      </c>
      <c r="D35" s="29"/>
      <c r="E35" s="29" t="s">
        <v>187</v>
      </c>
      <c r="F35" s="29" t="s">
        <v>197</v>
      </c>
      <c r="G35" s="29"/>
      <c r="H35" s="28" t="s">
        <v>651</v>
      </c>
      <c r="I35" s="28" t="s">
        <v>651</v>
      </c>
      <c r="J35" s="28" t="s">
        <v>651</v>
      </c>
      <c r="L35" s="28" t="s">
        <v>651</v>
      </c>
      <c r="M35" s="28" t="s">
        <v>651</v>
      </c>
      <c r="N35" s="28" t="s">
        <v>689</v>
      </c>
      <c r="O35" s="28" t="s">
        <v>651</v>
      </c>
      <c r="Q35" s="28" t="s">
        <v>285</v>
      </c>
      <c r="S35" s="29"/>
      <c r="T35" s="29" t="s">
        <v>198</v>
      </c>
      <c r="U35" s="29" t="s">
        <v>1577</v>
      </c>
      <c r="V35" s="29" t="s">
        <v>1577</v>
      </c>
      <c r="W35" s="29" t="s">
        <v>1355</v>
      </c>
      <c r="X35" s="28" t="s">
        <v>1728</v>
      </c>
      <c r="Y35" s="29" t="s">
        <v>651</v>
      </c>
      <c r="Z35" s="29" t="s">
        <v>651</v>
      </c>
      <c r="AA35" s="29" t="s">
        <v>651</v>
      </c>
      <c r="AB35" s="29" t="s">
        <v>651</v>
      </c>
      <c r="AC35" s="29" t="s">
        <v>651</v>
      </c>
      <c r="AD35" s="29" t="s">
        <v>651</v>
      </c>
      <c r="AE35" s="29"/>
    </row>
    <row r="36" spans="1:31" x14ac:dyDescent="0.25">
      <c r="A36" s="25"/>
      <c r="B36" s="26"/>
      <c r="C36" s="29"/>
      <c r="D36" s="29" t="s">
        <v>200</v>
      </c>
      <c r="E36" s="29"/>
      <c r="F36" s="29" t="s">
        <v>198</v>
      </c>
      <c r="G36" s="29" t="s">
        <v>200</v>
      </c>
      <c r="K36" s="28" t="s">
        <v>212</v>
      </c>
      <c r="P36" s="28" t="s">
        <v>419</v>
      </c>
      <c r="Q36" s="28" t="s">
        <v>419</v>
      </c>
      <c r="R36" s="28" t="s">
        <v>254</v>
      </c>
      <c r="S36" s="29" t="s">
        <v>196</v>
      </c>
      <c r="T36" s="29"/>
      <c r="U36" s="29"/>
      <c r="V36" s="29"/>
      <c r="W36" s="29" t="s">
        <v>1684</v>
      </c>
      <c r="Y36" s="29"/>
      <c r="Z36" s="29"/>
      <c r="AA36" s="29"/>
      <c r="AB36" s="29"/>
      <c r="AC36" s="29"/>
      <c r="AD36" s="29"/>
      <c r="AE36" s="29"/>
    </row>
    <row r="37" spans="1:31" x14ac:dyDescent="0.25">
      <c r="A37" s="25"/>
      <c r="B37" s="26"/>
      <c r="C37" s="29" t="s">
        <v>204</v>
      </c>
      <c r="D37" s="29"/>
      <c r="E37" s="29" t="s">
        <v>188</v>
      </c>
      <c r="F37" s="29"/>
      <c r="G37" s="29"/>
      <c r="H37" s="28" t="s">
        <v>652</v>
      </c>
      <c r="I37" s="28" t="s">
        <v>652</v>
      </c>
      <c r="J37" s="28" t="s">
        <v>652</v>
      </c>
      <c r="K37" s="28" t="s">
        <v>160</v>
      </c>
      <c r="L37" s="28" t="s">
        <v>652</v>
      </c>
      <c r="M37" s="28" t="s">
        <v>652</v>
      </c>
      <c r="N37" s="28" t="s">
        <v>690</v>
      </c>
      <c r="O37" s="28" t="s">
        <v>652</v>
      </c>
      <c r="P37" s="28" t="s">
        <v>419</v>
      </c>
      <c r="Q37" s="28" t="s">
        <v>160</v>
      </c>
      <c r="R37" s="28" t="s">
        <v>255</v>
      </c>
      <c r="S37" s="29" t="s">
        <v>197</v>
      </c>
      <c r="T37" s="29" t="s">
        <v>207</v>
      </c>
      <c r="U37" s="29" t="s">
        <v>726</v>
      </c>
      <c r="V37" s="29" t="s">
        <v>726</v>
      </c>
      <c r="W37" s="29"/>
      <c r="X37" s="28" t="s">
        <v>1729</v>
      </c>
      <c r="Y37" s="29" t="s">
        <v>703</v>
      </c>
      <c r="Z37" s="29" t="s">
        <v>703</v>
      </c>
      <c r="AA37" s="29" t="s">
        <v>703</v>
      </c>
      <c r="AB37" s="29" t="s">
        <v>703</v>
      </c>
      <c r="AC37" s="29" t="s">
        <v>684</v>
      </c>
      <c r="AD37" s="29" t="s">
        <v>1958</v>
      </c>
      <c r="AE37" s="29"/>
    </row>
    <row r="38" spans="1:31" x14ac:dyDescent="0.25">
      <c r="A38" s="25"/>
      <c r="B38" s="26"/>
      <c r="C38" s="29"/>
      <c r="D38" s="29" t="s">
        <v>196</v>
      </c>
      <c r="E38" s="29" t="s">
        <v>189</v>
      </c>
      <c r="F38" s="29" t="s">
        <v>207</v>
      </c>
      <c r="G38" s="29" t="s">
        <v>196</v>
      </c>
      <c r="H38" s="28" t="s">
        <v>212</v>
      </c>
      <c r="I38" s="28" t="s">
        <v>212</v>
      </c>
      <c r="J38" s="28" t="s">
        <v>212</v>
      </c>
      <c r="L38" s="28" t="s">
        <v>212</v>
      </c>
      <c r="M38" s="28" t="s">
        <v>212</v>
      </c>
      <c r="O38" s="28" t="s">
        <v>244</v>
      </c>
      <c r="P38" s="28" t="s">
        <v>424</v>
      </c>
      <c r="Q38" s="28" t="s">
        <v>378</v>
      </c>
      <c r="R38" s="28" t="s">
        <v>248</v>
      </c>
      <c r="S38" s="29" t="s">
        <v>198</v>
      </c>
      <c r="T38" s="29"/>
      <c r="U38" s="29"/>
      <c r="V38" s="29"/>
      <c r="W38" s="29" t="s">
        <v>1685</v>
      </c>
      <c r="X38" s="28" t="s">
        <v>1730</v>
      </c>
      <c r="Y38" s="29" t="s">
        <v>368</v>
      </c>
      <c r="Z38" s="29" t="s">
        <v>368</v>
      </c>
      <c r="AA38" s="29" t="s">
        <v>368</v>
      </c>
      <c r="AB38" s="29" t="s">
        <v>368</v>
      </c>
      <c r="AC38" s="29" t="s">
        <v>196</v>
      </c>
      <c r="AD38" s="29"/>
      <c r="AE38" s="29"/>
    </row>
    <row r="39" spans="1:31" x14ac:dyDescent="0.25">
      <c r="A39" s="25"/>
      <c r="B39" s="26"/>
      <c r="C39" s="29" t="s">
        <v>205</v>
      </c>
      <c r="D39" s="29" t="s">
        <v>197</v>
      </c>
      <c r="E39" s="29"/>
      <c r="F39" s="29"/>
      <c r="G39" s="29" t="s">
        <v>197</v>
      </c>
      <c r="H39" s="28" t="s">
        <v>422</v>
      </c>
      <c r="I39" s="28" t="s">
        <v>212</v>
      </c>
      <c r="J39" s="28" t="s">
        <v>424</v>
      </c>
      <c r="K39" s="28" t="s">
        <v>285</v>
      </c>
      <c r="L39" s="28" t="s">
        <v>285</v>
      </c>
      <c r="M39" s="28" t="s">
        <v>422</v>
      </c>
      <c r="N39" s="28" t="s">
        <v>691</v>
      </c>
      <c r="O39" s="28" t="s">
        <v>285</v>
      </c>
      <c r="P39" s="28" t="s">
        <v>160</v>
      </c>
      <c r="Q39" s="28" t="s">
        <v>424</v>
      </c>
      <c r="R39" s="28" t="s">
        <v>246</v>
      </c>
      <c r="S39" s="29"/>
      <c r="T39" s="29" t="s">
        <v>208</v>
      </c>
      <c r="U39" s="29" t="s">
        <v>735</v>
      </c>
      <c r="V39" s="29" t="s">
        <v>1661</v>
      </c>
      <c r="W39" s="29" t="s">
        <v>1686</v>
      </c>
      <c r="X39" s="28" t="s">
        <v>1731</v>
      </c>
      <c r="Y39" s="29"/>
      <c r="Z39" s="29"/>
      <c r="AA39" s="29"/>
      <c r="AB39" s="29"/>
      <c r="AC39" s="29"/>
      <c r="AD39" s="29" t="s">
        <v>1959</v>
      </c>
      <c r="AE39" s="29"/>
    </row>
    <row r="40" spans="1:31" x14ac:dyDescent="0.25">
      <c r="A40" s="25"/>
      <c r="B40" s="26"/>
      <c r="C40" s="29"/>
      <c r="D40" s="29" t="s">
        <v>198</v>
      </c>
      <c r="E40" s="29" t="s">
        <v>479</v>
      </c>
      <c r="F40" s="29" t="s">
        <v>208</v>
      </c>
      <c r="G40" s="29" t="s">
        <v>198</v>
      </c>
      <c r="H40" s="28" t="s">
        <v>378</v>
      </c>
      <c r="I40" s="28" t="s">
        <v>378</v>
      </c>
      <c r="J40" s="28" t="s">
        <v>378</v>
      </c>
      <c r="L40" s="28" t="s">
        <v>378</v>
      </c>
      <c r="M40" s="28" t="s">
        <v>378</v>
      </c>
      <c r="O40" s="28" t="s">
        <v>378</v>
      </c>
      <c r="Q40" s="28" t="s">
        <v>419</v>
      </c>
      <c r="R40" s="28" t="s">
        <v>256</v>
      </c>
      <c r="S40" s="29" t="s">
        <v>199</v>
      </c>
      <c r="T40" s="29" t="s">
        <v>209</v>
      </c>
      <c r="U40" s="29"/>
      <c r="V40" s="29"/>
      <c r="W40" s="29"/>
      <c r="X40" s="28" t="s">
        <v>1732</v>
      </c>
      <c r="Y40" s="29" t="s">
        <v>704</v>
      </c>
      <c r="Z40" s="29" t="s">
        <v>704</v>
      </c>
      <c r="AA40" s="29" t="s">
        <v>704</v>
      </c>
      <c r="AB40" s="29" t="s">
        <v>704</v>
      </c>
      <c r="AC40" s="29" t="s">
        <v>685</v>
      </c>
      <c r="AD40" s="29"/>
      <c r="AE40" s="29"/>
    </row>
    <row r="41" spans="1:31" x14ac:dyDescent="0.25">
      <c r="A41" s="25"/>
      <c r="B41" s="26"/>
      <c r="C41" s="29" t="s">
        <v>206</v>
      </c>
      <c r="D41" s="29"/>
      <c r="E41" s="29" t="s">
        <v>480</v>
      </c>
      <c r="F41" s="29" t="s">
        <v>209</v>
      </c>
      <c r="G41" s="29"/>
      <c r="H41" s="28" t="s">
        <v>212</v>
      </c>
      <c r="I41" s="28" t="s">
        <v>212</v>
      </c>
      <c r="J41" s="28" t="s">
        <v>212</v>
      </c>
      <c r="K41" s="28" t="s">
        <v>1053</v>
      </c>
      <c r="L41" s="28" t="s">
        <v>212</v>
      </c>
      <c r="M41" s="28" t="s">
        <v>212</v>
      </c>
      <c r="N41" s="28" t="s">
        <v>692</v>
      </c>
      <c r="O41" s="28" t="s">
        <v>212</v>
      </c>
      <c r="P41" s="28" t="s">
        <v>212</v>
      </c>
      <c r="Q41" s="28" t="s">
        <v>160</v>
      </c>
      <c r="S41" s="29"/>
      <c r="T41" s="29"/>
      <c r="U41" s="29" t="s">
        <v>1578</v>
      </c>
      <c r="V41" s="29" t="s">
        <v>1578</v>
      </c>
      <c r="W41" s="29" t="s">
        <v>160</v>
      </c>
      <c r="X41" s="28" t="s">
        <v>164</v>
      </c>
      <c r="Y41" s="29" t="s">
        <v>705</v>
      </c>
      <c r="Z41" s="29" t="s">
        <v>705</v>
      </c>
      <c r="AA41" s="29" t="s">
        <v>705</v>
      </c>
      <c r="AB41" s="29" t="s">
        <v>705</v>
      </c>
      <c r="AC41" s="29"/>
      <c r="AD41" s="29" t="s">
        <v>1882</v>
      </c>
      <c r="AE41" s="29"/>
    </row>
    <row r="42" spans="1:31" x14ac:dyDescent="0.25">
      <c r="A42" s="25"/>
      <c r="B42" s="26"/>
      <c r="C42" s="29"/>
      <c r="D42" s="29" t="s">
        <v>206</v>
      </c>
      <c r="E42" s="29" t="s">
        <v>481</v>
      </c>
      <c r="F42" s="29"/>
      <c r="G42" s="29" t="s">
        <v>206</v>
      </c>
      <c r="H42" s="28" t="s">
        <v>285</v>
      </c>
      <c r="I42" s="28" t="s">
        <v>285</v>
      </c>
      <c r="J42" s="28" t="s">
        <v>285</v>
      </c>
      <c r="L42" s="28" t="s">
        <v>285</v>
      </c>
      <c r="M42" s="28" t="s">
        <v>285</v>
      </c>
      <c r="N42" s="28" t="s">
        <v>693</v>
      </c>
      <c r="O42" s="28" t="s">
        <v>285</v>
      </c>
      <c r="P42" s="28" t="s">
        <v>243</v>
      </c>
      <c r="Q42" s="28" t="s">
        <v>419</v>
      </c>
      <c r="R42" s="28" t="s">
        <v>254</v>
      </c>
      <c r="S42" s="29" t="s">
        <v>200</v>
      </c>
      <c r="T42" s="29" t="s">
        <v>214</v>
      </c>
      <c r="U42" s="29"/>
      <c r="V42" s="29"/>
      <c r="W42" s="29" t="s">
        <v>160</v>
      </c>
      <c r="Y42" s="29"/>
      <c r="Z42" s="29"/>
      <c r="AA42" s="29"/>
      <c r="AB42" s="29"/>
      <c r="AC42" s="29" t="s">
        <v>703</v>
      </c>
      <c r="AD42" s="29"/>
      <c r="AE42" s="29"/>
    </row>
    <row r="43" spans="1:31" x14ac:dyDescent="0.25">
      <c r="A43" s="25"/>
      <c r="B43" s="26"/>
      <c r="C43" s="29" t="s">
        <v>207</v>
      </c>
      <c r="D43" s="29"/>
      <c r="E43" s="29" t="s">
        <v>482</v>
      </c>
      <c r="F43" s="29" t="s">
        <v>214</v>
      </c>
      <c r="G43" s="29"/>
      <c r="H43" s="28" t="s">
        <v>419</v>
      </c>
      <c r="I43" s="28" t="s">
        <v>419</v>
      </c>
      <c r="J43" s="28" t="s">
        <v>419</v>
      </c>
      <c r="K43" s="28" t="s">
        <v>285</v>
      </c>
      <c r="L43" s="28" t="s">
        <v>419</v>
      </c>
      <c r="M43" s="28" t="s">
        <v>419</v>
      </c>
      <c r="O43" s="28" t="s">
        <v>419</v>
      </c>
      <c r="P43" s="28" t="s">
        <v>285</v>
      </c>
      <c r="Q43" s="28" t="s">
        <v>378</v>
      </c>
      <c r="R43" s="28" t="s">
        <v>255</v>
      </c>
      <c r="S43" s="29"/>
      <c r="T43" s="29" t="s">
        <v>1562</v>
      </c>
      <c r="U43" s="29" t="s">
        <v>1579</v>
      </c>
      <c r="V43" s="29" t="s">
        <v>1579</v>
      </c>
      <c r="W43" s="29"/>
      <c r="X43" s="28" t="s">
        <v>729</v>
      </c>
      <c r="Y43" s="29" t="s">
        <v>1873</v>
      </c>
      <c r="Z43" s="29" t="s">
        <v>1899</v>
      </c>
      <c r="AA43" s="29" t="s">
        <v>1938</v>
      </c>
      <c r="AB43" s="29" t="s">
        <v>1951</v>
      </c>
      <c r="AC43" s="29" t="s">
        <v>368</v>
      </c>
      <c r="AD43" s="29" t="s">
        <v>1960</v>
      </c>
      <c r="AE43" s="29"/>
    </row>
    <row r="44" spans="1:31" x14ac:dyDescent="0.25">
      <c r="A44" s="25"/>
      <c r="B44" s="26"/>
      <c r="C44" s="29"/>
      <c r="D44" s="29" t="s">
        <v>207</v>
      </c>
      <c r="E44" s="29" t="s">
        <v>226</v>
      </c>
      <c r="F44" s="29" t="s">
        <v>579</v>
      </c>
      <c r="G44" s="29" t="s">
        <v>207</v>
      </c>
      <c r="H44" s="28" t="s">
        <v>424</v>
      </c>
      <c r="I44" s="28" t="s">
        <v>424</v>
      </c>
      <c r="J44" s="28" t="s">
        <v>424</v>
      </c>
      <c r="L44" s="28" t="s">
        <v>424</v>
      </c>
      <c r="M44" s="28" t="s">
        <v>424</v>
      </c>
      <c r="N44" s="28" t="s">
        <v>694</v>
      </c>
      <c r="O44" s="28" t="s">
        <v>424</v>
      </c>
      <c r="P44" s="28" t="s">
        <v>160</v>
      </c>
      <c r="Q44" s="28" t="s">
        <v>160</v>
      </c>
      <c r="S44" s="29" t="s">
        <v>201</v>
      </c>
      <c r="T44" s="29" t="s">
        <v>370</v>
      </c>
      <c r="U44" s="29" t="s">
        <v>1580</v>
      </c>
      <c r="V44" s="29" t="s">
        <v>1580</v>
      </c>
      <c r="W44" s="29" t="s">
        <v>198</v>
      </c>
      <c r="X44" s="28" t="s">
        <v>730</v>
      </c>
      <c r="Y44" s="29"/>
      <c r="Z44" s="29"/>
      <c r="AA44" s="29"/>
      <c r="AB44" s="29"/>
      <c r="AC44" s="29"/>
      <c r="AD44" s="29"/>
      <c r="AE44" s="29"/>
    </row>
    <row r="45" spans="1:31" x14ac:dyDescent="0.25">
      <c r="A45" s="25"/>
      <c r="B45" s="26"/>
      <c r="C45" s="29" t="s">
        <v>208</v>
      </c>
      <c r="D45" s="29"/>
      <c r="E45" s="29" t="s">
        <v>227</v>
      </c>
      <c r="F45" s="29" t="s">
        <v>579</v>
      </c>
      <c r="G45" s="29"/>
      <c r="H45" s="28" t="s">
        <v>378</v>
      </c>
      <c r="I45" s="28" t="s">
        <v>378</v>
      </c>
      <c r="J45" s="28" t="s">
        <v>378</v>
      </c>
      <c r="K45" s="28" t="s">
        <v>285</v>
      </c>
      <c r="L45" s="28" t="s">
        <v>378</v>
      </c>
      <c r="M45" s="28" t="s">
        <v>378</v>
      </c>
      <c r="N45" s="28" t="s">
        <v>695</v>
      </c>
      <c r="O45" s="28" t="s">
        <v>378</v>
      </c>
      <c r="Q45" s="28" t="s">
        <v>652</v>
      </c>
      <c r="R45" s="28" t="s">
        <v>257</v>
      </c>
      <c r="S45" s="29"/>
      <c r="T45" s="29"/>
      <c r="U45" s="29" t="s">
        <v>1581</v>
      </c>
      <c r="V45" s="29" t="s">
        <v>1581</v>
      </c>
      <c r="W45" s="29" t="s">
        <v>1687</v>
      </c>
      <c r="X45" s="28" t="s">
        <v>703</v>
      </c>
      <c r="Y45" s="29" t="s">
        <v>1874</v>
      </c>
      <c r="Z45" s="29" t="s">
        <v>1900</v>
      </c>
      <c r="AA45" s="29" t="s">
        <v>1939</v>
      </c>
      <c r="AB45" s="29" t="s">
        <v>1952</v>
      </c>
      <c r="AC45" s="29" t="s">
        <v>704</v>
      </c>
      <c r="AD45" s="29" t="s">
        <v>684</v>
      </c>
      <c r="AE45" s="29"/>
    </row>
    <row r="46" spans="1:31" x14ac:dyDescent="0.25">
      <c r="A46" s="25"/>
      <c r="B46" s="26"/>
      <c r="C46" s="29" t="s">
        <v>209</v>
      </c>
      <c r="D46" s="29" t="s">
        <v>208</v>
      </c>
      <c r="E46" s="29" t="s">
        <v>228</v>
      </c>
      <c r="F46" s="29" t="s">
        <v>370</v>
      </c>
      <c r="G46" s="29" t="s">
        <v>208</v>
      </c>
      <c r="H46" s="28" t="s">
        <v>160</v>
      </c>
      <c r="I46" s="28" t="s">
        <v>160</v>
      </c>
      <c r="J46" s="28" t="s">
        <v>160</v>
      </c>
      <c r="L46" s="28" t="s">
        <v>160</v>
      </c>
      <c r="M46" s="28" t="s">
        <v>160</v>
      </c>
      <c r="O46" s="28" t="s">
        <v>160</v>
      </c>
      <c r="P46" s="28" t="s">
        <v>212</v>
      </c>
      <c r="R46" s="28" t="s">
        <v>247</v>
      </c>
      <c r="S46" s="29" t="s">
        <v>202</v>
      </c>
      <c r="T46" s="29" t="s">
        <v>1524</v>
      </c>
      <c r="U46" s="29"/>
      <c r="V46" s="29"/>
      <c r="W46" s="29" t="s">
        <v>196</v>
      </c>
      <c r="X46" s="28" t="s">
        <v>728</v>
      </c>
      <c r="Y46" s="29"/>
      <c r="Z46" s="29"/>
      <c r="AA46" s="29"/>
      <c r="AB46" s="29"/>
      <c r="AC46" s="29" t="s">
        <v>705</v>
      </c>
      <c r="AD46" s="29" t="s">
        <v>196</v>
      </c>
      <c r="AE46" s="29"/>
    </row>
    <row r="47" spans="1:31" x14ac:dyDescent="0.25">
      <c r="A47" s="25"/>
      <c r="B47" s="26"/>
      <c r="C47" s="29"/>
      <c r="D47" s="29" t="s">
        <v>209</v>
      </c>
      <c r="E47" s="29" t="s">
        <v>229</v>
      </c>
      <c r="F47" s="29"/>
      <c r="G47" s="29" t="s">
        <v>209</v>
      </c>
      <c r="H47" s="28" t="s">
        <v>424</v>
      </c>
      <c r="I47" s="28" t="s">
        <v>424</v>
      </c>
      <c r="J47" s="28" t="s">
        <v>243</v>
      </c>
      <c r="K47" s="28" t="s">
        <v>1054</v>
      </c>
      <c r="L47" s="28" t="s">
        <v>424</v>
      </c>
      <c r="M47" s="28" t="s">
        <v>424</v>
      </c>
      <c r="N47" s="28" t="s">
        <v>692</v>
      </c>
      <c r="O47" s="28" t="s">
        <v>420</v>
      </c>
      <c r="Q47" s="28" t="s">
        <v>245</v>
      </c>
      <c r="R47" s="28" t="s">
        <v>258</v>
      </c>
      <c r="S47" s="29"/>
      <c r="T47" s="29"/>
      <c r="U47" s="29" t="s">
        <v>198</v>
      </c>
      <c r="V47" s="29" t="s">
        <v>198</v>
      </c>
      <c r="W47" s="29"/>
      <c r="X47" s="28" t="s">
        <v>225</v>
      </c>
      <c r="Y47" s="29" t="s">
        <v>706</v>
      </c>
      <c r="Z47" s="29" t="s">
        <v>706</v>
      </c>
      <c r="AA47" s="29" t="s">
        <v>706</v>
      </c>
      <c r="AB47" s="29" t="s">
        <v>706</v>
      </c>
      <c r="AC47" s="29"/>
      <c r="AD47" s="29"/>
      <c r="AE47" s="29"/>
    </row>
    <row r="48" spans="1:31" x14ac:dyDescent="0.25">
      <c r="A48" s="25"/>
      <c r="B48" s="26"/>
      <c r="C48" s="29" t="s">
        <v>210</v>
      </c>
      <c r="D48" s="29"/>
      <c r="E48" s="29" t="s">
        <v>230</v>
      </c>
      <c r="F48" s="29" t="s">
        <v>580</v>
      </c>
      <c r="G48" s="29"/>
      <c r="H48" s="28" t="s">
        <v>419</v>
      </c>
      <c r="I48" s="28" t="s">
        <v>212</v>
      </c>
      <c r="J48" s="28" t="s">
        <v>420</v>
      </c>
      <c r="L48" s="28" t="s">
        <v>244</v>
      </c>
      <c r="M48" s="28" t="s">
        <v>244</v>
      </c>
      <c r="N48" s="28" t="s">
        <v>696</v>
      </c>
      <c r="O48" s="28" t="s">
        <v>243</v>
      </c>
      <c r="P48" s="28" t="s">
        <v>433</v>
      </c>
      <c r="Q48" s="28" t="s">
        <v>246</v>
      </c>
      <c r="R48" s="28" t="s">
        <v>259</v>
      </c>
      <c r="S48" s="29" t="s">
        <v>203</v>
      </c>
      <c r="T48" s="29" t="s">
        <v>216</v>
      </c>
      <c r="U48" s="29"/>
      <c r="V48" s="29"/>
      <c r="W48" s="29" t="s">
        <v>688</v>
      </c>
      <c r="X48" s="28" t="s">
        <v>225</v>
      </c>
      <c r="Y48" s="29" t="s">
        <v>707</v>
      </c>
      <c r="Z48" s="29" t="s">
        <v>707</v>
      </c>
      <c r="AA48" s="29" t="s">
        <v>707</v>
      </c>
      <c r="AB48" s="29" t="s">
        <v>707</v>
      </c>
      <c r="AC48" s="29" t="s">
        <v>706</v>
      </c>
      <c r="AD48" s="29" t="s">
        <v>685</v>
      </c>
      <c r="AE48" s="29"/>
    </row>
    <row r="49" spans="1:31" x14ac:dyDescent="0.25">
      <c r="A49" s="25"/>
      <c r="B49" s="26"/>
      <c r="C49" s="29" t="s">
        <v>210</v>
      </c>
      <c r="D49" s="29" t="s">
        <v>214</v>
      </c>
      <c r="E49" s="29" t="s">
        <v>231</v>
      </c>
      <c r="F49" s="29" t="s">
        <v>580</v>
      </c>
      <c r="G49" s="29" t="s">
        <v>214</v>
      </c>
      <c r="H49" s="28" t="s">
        <v>422</v>
      </c>
      <c r="I49" s="28" t="s">
        <v>419</v>
      </c>
      <c r="J49" s="28" t="s">
        <v>419</v>
      </c>
      <c r="K49" s="28" t="s">
        <v>419</v>
      </c>
      <c r="L49" s="28" t="s">
        <v>160</v>
      </c>
      <c r="M49" s="28" t="s">
        <v>424</v>
      </c>
      <c r="O49" s="28" t="s">
        <v>545</v>
      </c>
      <c r="Q49" s="28" t="s">
        <v>247</v>
      </c>
      <c r="S49" s="29"/>
      <c r="T49" s="29"/>
      <c r="U49" s="29" t="s">
        <v>214</v>
      </c>
      <c r="V49" s="29" t="s">
        <v>214</v>
      </c>
      <c r="W49" s="29" t="s">
        <v>1688</v>
      </c>
      <c r="X49" s="28" t="s">
        <v>225</v>
      </c>
      <c r="Y49" s="29" t="s">
        <v>708</v>
      </c>
      <c r="Z49" s="29" t="s">
        <v>708</v>
      </c>
      <c r="AA49" s="29" t="s">
        <v>708</v>
      </c>
      <c r="AB49" s="29" t="s">
        <v>708</v>
      </c>
      <c r="AC49" s="29" t="s">
        <v>707</v>
      </c>
      <c r="AD49" s="29"/>
      <c r="AE49" s="29"/>
    </row>
    <row r="50" spans="1:31" x14ac:dyDescent="0.25">
      <c r="A50" s="25"/>
      <c r="B50" s="26"/>
      <c r="C50" s="29" t="s">
        <v>210</v>
      </c>
      <c r="D50" s="29" t="s">
        <v>369</v>
      </c>
      <c r="E50" s="29" t="s">
        <v>232</v>
      </c>
      <c r="F50" s="29"/>
      <c r="G50" s="29" t="s">
        <v>606</v>
      </c>
      <c r="H50" s="28" t="s">
        <v>378</v>
      </c>
      <c r="I50" s="28" t="s">
        <v>378</v>
      </c>
      <c r="J50" s="28" t="s">
        <v>378</v>
      </c>
      <c r="K50" s="28" t="s">
        <v>212</v>
      </c>
      <c r="L50" s="28" t="s">
        <v>378</v>
      </c>
      <c r="M50" s="28" t="s">
        <v>378</v>
      </c>
      <c r="N50" s="28" t="s">
        <v>694</v>
      </c>
      <c r="O50" s="28" t="s">
        <v>378</v>
      </c>
      <c r="P50" s="28" t="s">
        <v>1330</v>
      </c>
      <c r="Q50" s="28" t="s">
        <v>248</v>
      </c>
      <c r="R50" s="28" t="s">
        <v>247</v>
      </c>
      <c r="S50" s="29" t="s">
        <v>204</v>
      </c>
      <c r="T50" s="29" t="s">
        <v>160</v>
      </c>
      <c r="U50" s="29"/>
      <c r="V50" s="29"/>
      <c r="W50" s="29"/>
      <c r="Y50" s="29" t="s">
        <v>709</v>
      </c>
      <c r="Z50" s="29" t="s">
        <v>709</v>
      </c>
      <c r="AA50" s="29" t="s">
        <v>709</v>
      </c>
      <c r="AB50" s="29" t="s">
        <v>709</v>
      </c>
      <c r="AC50" s="29" t="s">
        <v>708</v>
      </c>
      <c r="AD50" s="29" t="s">
        <v>703</v>
      </c>
      <c r="AE50" s="29"/>
    </row>
    <row r="51" spans="1:31" x14ac:dyDescent="0.25">
      <c r="A51" s="25"/>
      <c r="B51" s="26"/>
      <c r="C51" s="29" t="s">
        <v>210</v>
      </c>
      <c r="D51" s="29" t="s">
        <v>370</v>
      </c>
      <c r="E51" s="29" t="s">
        <v>233</v>
      </c>
      <c r="F51" s="29" t="s">
        <v>372</v>
      </c>
      <c r="G51" s="29" t="s">
        <v>370</v>
      </c>
      <c r="H51" s="28" t="s">
        <v>160</v>
      </c>
      <c r="I51" s="28" t="s">
        <v>160</v>
      </c>
      <c r="J51" s="28" t="s">
        <v>160</v>
      </c>
      <c r="L51" s="28" t="s">
        <v>160</v>
      </c>
      <c r="M51" s="28" t="s">
        <v>160</v>
      </c>
      <c r="N51" s="28" t="s">
        <v>697</v>
      </c>
      <c r="O51" s="28" t="s">
        <v>160</v>
      </c>
      <c r="Q51" s="28" t="s">
        <v>245</v>
      </c>
      <c r="R51" s="28" t="s">
        <v>260</v>
      </c>
      <c r="S51" s="29"/>
      <c r="T51" s="29"/>
      <c r="U51" s="29" t="s">
        <v>196</v>
      </c>
      <c r="V51" s="29" t="s">
        <v>196</v>
      </c>
      <c r="W51" s="29" t="s">
        <v>1689</v>
      </c>
      <c r="X51" s="28" t="s">
        <v>734</v>
      </c>
      <c r="Y51" s="29"/>
      <c r="Z51" s="29"/>
      <c r="AA51" s="29"/>
      <c r="AB51" s="29"/>
      <c r="AC51" s="29" t="s">
        <v>709</v>
      </c>
      <c r="AD51" s="29" t="s">
        <v>368</v>
      </c>
      <c r="AE51" s="29"/>
    </row>
    <row r="52" spans="1:31" x14ac:dyDescent="0.25">
      <c r="A52" s="25"/>
      <c r="B52" s="26"/>
      <c r="C52" s="29" t="s">
        <v>210</v>
      </c>
      <c r="D52" s="29"/>
      <c r="E52" s="29" t="s">
        <v>234</v>
      </c>
      <c r="F52" s="29" t="s">
        <v>372</v>
      </c>
      <c r="G52" s="29"/>
      <c r="H52" s="28" t="s">
        <v>652</v>
      </c>
      <c r="I52" s="28" t="s">
        <v>652</v>
      </c>
      <c r="J52" s="28" t="s">
        <v>652</v>
      </c>
      <c r="K52" s="28" t="s">
        <v>424</v>
      </c>
      <c r="L52" s="28" t="s">
        <v>652</v>
      </c>
      <c r="M52" s="28" t="s">
        <v>652</v>
      </c>
      <c r="O52" s="28" t="s">
        <v>652</v>
      </c>
      <c r="P52" s="28" t="s">
        <v>244</v>
      </c>
      <c r="Q52" s="28" t="s">
        <v>249</v>
      </c>
      <c r="R52" s="28" t="s">
        <v>247</v>
      </c>
      <c r="S52" s="29" t="s">
        <v>205</v>
      </c>
      <c r="T52" s="29" t="s">
        <v>392</v>
      </c>
      <c r="U52" s="29"/>
      <c r="V52" s="29"/>
      <c r="W52" s="29"/>
      <c r="Y52" s="29" t="s">
        <v>160</v>
      </c>
      <c r="Z52" s="29" t="s">
        <v>160</v>
      </c>
      <c r="AA52" s="29" t="s">
        <v>160</v>
      </c>
      <c r="AB52" s="29" t="s">
        <v>160</v>
      </c>
      <c r="AC52" s="29"/>
      <c r="AD52" s="29"/>
      <c r="AE52" s="29"/>
    </row>
    <row r="53" spans="1:31" x14ac:dyDescent="0.25">
      <c r="A53" s="25"/>
      <c r="B53" s="26"/>
      <c r="C53" s="29" t="s">
        <v>210</v>
      </c>
      <c r="D53" s="29" t="s">
        <v>371</v>
      </c>
      <c r="E53" s="29" t="s">
        <v>235</v>
      </c>
      <c r="F53" s="29"/>
      <c r="G53" s="29" t="s">
        <v>607</v>
      </c>
      <c r="N53" s="28" t="s">
        <v>692</v>
      </c>
      <c r="Q53" s="28" t="s">
        <v>247</v>
      </c>
      <c r="R53" s="28" t="s">
        <v>261</v>
      </c>
      <c r="S53" s="29"/>
      <c r="T53" s="29" t="s">
        <v>393</v>
      </c>
      <c r="U53" s="29" t="s">
        <v>688</v>
      </c>
      <c r="V53" s="29" t="s">
        <v>688</v>
      </c>
      <c r="W53" s="29" t="s">
        <v>1690</v>
      </c>
      <c r="X53" s="28" t="s">
        <v>727</v>
      </c>
      <c r="Y53" s="29"/>
      <c r="Z53" s="29"/>
      <c r="AA53" s="29"/>
      <c r="AB53" s="29"/>
      <c r="AC53" s="29" t="s">
        <v>686</v>
      </c>
      <c r="AD53" s="29" t="s">
        <v>704</v>
      </c>
      <c r="AE53" s="29"/>
    </row>
    <row r="54" spans="1:31" x14ac:dyDescent="0.25">
      <c r="A54" s="25"/>
      <c r="B54" s="26"/>
      <c r="C54" s="29" t="s">
        <v>210</v>
      </c>
      <c r="D54" s="29"/>
      <c r="E54" s="29" t="s">
        <v>236</v>
      </c>
      <c r="F54" s="29" t="s">
        <v>160</v>
      </c>
      <c r="G54" s="29"/>
      <c r="H54" s="28" t="s">
        <v>653</v>
      </c>
      <c r="I54" s="28" t="s">
        <v>703</v>
      </c>
      <c r="J54" s="28" t="s">
        <v>678</v>
      </c>
      <c r="K54" s="28" t="s">
        <v>212</v>
      </c>
      <c r="L54" s="28" t="s">
        <v>703</v>
      </c>
      <c r="M54" s="28" t="s">
        <v>1128</v>
      </c>
      <c r="N54" s="28" t="s">
        <v>698</v>
      </c>
      <c r="O54" s="28" t="s">
        <v>1279</v>
      </c>
      <c r="P54" s="28" t="s">
        <v>1331</v>
      </c>
      <c r="Q54" s="28" t="s">
        <v>250</v>
      </c>
      <c r="R54" s="28" t="s">
        <v>254</v>
      </c>
      <c r="S54" s="29" t="s">
        <v>392</v>
      </c>
      <c r="T54" s="29" t="s">
        <v>160</v>
      </c>
      <c r="U54" s="29"/>
      <c r="V54" s="29"/>
      <c r="W54" s="29" t="s">
        <v>1691</v>
      </c>
      <c r="Y54" s="29" t="s">
        <v>686</v>
      </c>
      <c r="Z54" s="29" t="s">
        <v>686</v>
      </c>
      <c r="AA54" s="29" t="s">
        <v>686</v>
      </c>
      <c r="AB54" s="29" t="s">
        <v>686</v>
      </c>
      <c r="AC54" s="29" t="s">
        <v>687</v>
      </c>
      <c r="AD54" s="29" t="s">
        <v>705</v>
      </c>
      <c r="AE54" s="29"/>
    </row>
    <row r="55" spans="1:31" x14ac:dyDescent="0.25">
      <c r="A55" s="25"/>
      <c r="B55" s="26"/>
      <c r="C55" s="29" t="s">
        <v>210</v>
      </c>
      <c r="D55" s="29" t="s">
        <v>372</v>
      </c>
      <c r="E55" s="29" t="s">
        <v>237</v>
      </c>
      <c r="F55" s="29" t="s">
        <v>160</v>
      </c>
      <c r="G55" s="29" t="s">
        <v>372</v>
      </c>
      <c r="I55" s="28" t="s">
        <v>368</v>
      </c>
      <c r="J55" s="28" t="s">
        <v>982</v>
      </c>
      <c r="L55" s="28" t="s">
        <v>368</v>
      </c>
      <c r="N55" s="28" t="s">
        <v>699</v>
      </c>
      <c r="Q55" s="28" t="s">
        <v>251</v>
      </c>
      <c r="S55" s="29" t="s">
        <v>393</v>
      </c>
      <c r="T55" s="29" t="s">
        <v>211</v>
      </c>
      <c r="U55" s="29" t="s">
        <v>1582</v>
      </c>
      <c r="V55" s="29" t="s">
        <v>1662</v>
      </c>
      <c r="W55" s="29" t="s">
        <v>1691</v>
      </c>
      <c r="X55" s="28" t="s">
        <v>1577</v>
      </c>
      <c r="Y55" s="29" t="s">
        <v>687</v>
      </c>
      <c r="Z55" s="29" t="s">
        <v>687</v>
      </c>
      <c r="AA55" s="29" t="s">
        <v>687</v>
      </c>
      <c r="AB55" s="29" t="s">
        <v>687</v>
      </c>
      <c r="AC55" s="29"/>
      <c r="AD55" s="29"/>
      <c r="AE55" s="29"/>
    </row>
    <row r="56" spans="1:31" x14ac:dyDescent="0.25">
      <c r="A56" s="25"/>
      <c r="B56" s="26"/>
      <c r="C56" s="29" t="s">
        <v>210</v>
      </c>
      <c r="D56" s="29"/>
      <c r="E56" s="29"/>
      <c r="F56" s="29"/>
      <c r="G56" s="29"/>
      <c r="H56" s="28" t="s">
        <v>654</v>
      </c>
      <c r="J56" s="28" t="s">
        <v>983</v>
      </c>
      <c r="K56" s="28" t="s">
        <v>419</v>
      </c>
      <c r="M56" s="28" t="s">
        <v>954</v>
      </c>
      <c r="N56" s="28" t="s">
        <v>700</v>
      </c>
      <c r="O56" s="28" t="s">
        <v>390</v>
      </c>
      <c r="P56" s="28" t="s">
        <v>212</v>
      </c>
      <c r="Q56" s="28" t="s">
        <v>245</v>
      </c>
      <c r="R56" s="28" t="s">
        <v>262</v>
      </c>
      <c r="S56" s="29" t="s">
        <v>160</v>
      </c>
      <c r="T56" s="29"/>
      <c r="U56" s="29" t="s">
        <v>1583</v>
      </c>
      <c r="V56" s="29" t="s">
        <v>1663</v>
      </c>
      <c r="W56" s="29"/>
      <c r="Y56" s="29"/>
      <c r="Z56" s="29"/>
      <c r="AA56" s="29"/>
      <c r="AB56" s="29"/>
      <c r="AC56" s="29" t="s">
        <v>688</v>
      </c>
      <c r="AD56" s="29" t="s">
        <v>706</v>
      </c>
      <c r="AE56" s="29"/>
    </row>
    <row r="57" spans="1:31" x14ac:dyDescent="0.25">
      <c r="A57" s="25"/>
      <c r="B57" s="26"/>
      <c r="C57" s="29" t="s">
        <v>210</v>
      </c>
      <c r="D57" s="29" t="s">
        <v>160</v>
      </c>
      <c r="E57" s="29" t="s">
        <v>379</v>
      </c>
      <c r="F57" s="29" t="s">
        <v>394</v>
      </c>
      <c r="G57" s="29" t="s">
        <v>160</v>
      </c>
      <c r="I57" s="28" t="s">
        <v>704</v>
      </c>
      <c r="K57" s="28" t="s">
        <v>160</v>
      </c>
      <c r="L57" s="28" t="s">
        <v>704</v>
      </c>
      <c r="Q57" s="28" t="s">
        <v>252</v>
      </c>
      <c r="S57" s="29" t="s">
        <v>211</v>
      </c>
      <c r="T57" s="29" t="s">
        <v>394</v>
      </c>
      <c r="U57" s="29" t="s">
        <v>1584</v>
      </c>
      <c r="V57" s="29" t="s">
        <v>1664</v>
      </c>
      <c r="W57" s="29" t="s">
        <v>202</v>
      </c>
      <c r="X57" s="28" t="s">
        <v>726</v>
      </c>
      <c r="Y57" s="29" t="s">
        <v>1875</v>
      </c>
      <c r="Z57" s="29" t="s">
        <v>1901</v>
      </c>
      <c r="AA57" s="29" t="s">
        <v>1940</v>
      </c>
      <c r="AB57" s="29" t="s">
        <v>1940</v>
      </c>
      <c r="AC57" s="29"/>
      <c r="AD57" s="29" t="s">
        <v>707</v>
      </c>
      <c r="AE57" s="29"/>
    </row>
    <row r="58" spans="1:31" x14ac:dyDescent="0.25">
      <c r="A58" s="25"/>
      <c r="B58" s="26"/>
      <c r="C58" s="29" t="s">
        <v>210</v>
      </c>
      <c r="D58" s="29"/>
      <c r="E58" s="29" t="s">
        <v>483</v>
      </c>
      <c r="F58" s="29" t="s">
        <v>368</v>
      </c>
      <c r="G58" s="29"/>
      <c r="H58" s="28" t="s">
        <v>655</v>
      </c>
      <c r="I58" s="28" t="s">
        <v>705</v>
      </c>
      <c r="J58" s="28" t="s">
        <v>984</v>
      </c>
      <c r="L58" s="28" t="s">
        <v>705</v>
      </c>
      <c r="M58" s="28" t="s">
        <v>1129</v>
      </c>
      <c r="N58" s="28" t="s">
        <v>701</v>
      </c>
      <c r="O58" s="28" t="s">
        <v>1280</v>
      </c>
      <c r="P58" s="28" t="s">
        <v>212</v>
      </c>
      <c r="R58" s="28" t="s">
        <v>254</v>
      </c>
      <c r="S58" s="29"/>
      <c r="T58" s="29" t="s">
        <v>368</v>
      </c>
      <c r="U58" s="29"/>
      <c r="V58" s="29"/>
      <c r="W58" s="29"/>
      <c r="Y58" s="29"/>
      <c r="Z58" s="29"/>
      <c r="AA58" s="29"/>
      <c r="AB58" s="29"/>
      <c r="AC58" s="29" t="s">
        <v>198</v>
      </c>
      <c r="AD58" s="29" t="s">
        <v>708</v>
      </c>
      <c r="AE58" s="29"/>
    </row>
    <row r="59" spans="1:31" x14ac:dyDescent="0.25">
      <c r="A59" s="25"/>
      <c r="B59" s="26"/>
      <c r="C59" s="29" t="s">
        <v>210</v>
      </c>
      <c r="D59" s="29" t="s">
        <v>373</v>
      </c>
      <c r="E59" s="29" t="s">
        <v>483</v>
      </c>
      <c r="F59" s="29" t="s">
        <v>581</v>
      </c>
      <c r="G59" s="29" t="s">
        <v>608</v>
      </c>
      <c r="K59" s="28" t="s">
        <v>1055</v>
      </c>
      <c r="Q59" s="28" t="s">
        <v>253</v>
      </c>
      <c r="R59" s="28" t="s">
        <v>255</v>
      </c>
      <c r="S59" s="29" t="s">
        <v>394</v>
      </c>
      <c r="T59" s="29" t="s">
        <v>1563</v>
      </c>
      <c r="U59" s="29" t="s">
        <v>217</v>
      </c>
      <c r="V59" s="29" t="s">
        <v>217</v>
      </c>
      <c r="W59" s="29" t="s">
        <v>204</v>
      </c>
      <c r="X59" s="28" t="s">
        <v>198</v>
      </c>
      <c r="Y59" s="29" t="s">
        <v>684</v>
      </c>
      <c r="Z59" s="29" t="s">
        <v>684</v>
      </c>
      <c r="AA59" s="29" t="s">
        <v>684</v>
      </c>
      <c r="AB59" s="29" t="s">
        <v>684</v>
      </c>
      <c r="AC59" s="29"/>
      <c r="AD59" s="29" t="s">
        <v>709</v>
      </c>
      <c r="AE59" s="29"/>
    </row>
    <row r="60" spans="1:31" x14ac:dyDescent="0.25">
      <c r="A60" s="25"/>
      <c r="B60" s="26"/>
      <c r="C60" s="29" t="s">
        <v>211</v>
      </c>
      <c r="D60" s="29" t="s">
        <v>374</v>
      </c>
      <c r="E60" s="29" t="s">
        <v>483</v>
      </c>
      <c r="F60" s="29" t="s">
        <v>582</v>
      </c>
      <c r="G60" s="29" t="s">
        <v>374</v>
      </c>
      <c r="H60" s="28" t="s">
        <v>160</v>
      </c>
      <c r="I60" s="28" t="s">
        <v>706</v>
      </c>
      <c r="J60" s="28" t="s">
        <v>285</v>
      </c>
      <c r="L60" s="28" t="s">
        <v>706</v>
      </c>
      <c r="M60" s="28" t="s">
        <v>160</v>
      </c>
      <c r="N60" s="28" t="s">
        <v>702</v>
      </c>
      <c r="O60" s="28" t="s">
        <v>1281</v>
      </c>
      <c r="P60" s="28" t="s">
        <v>1332</v>
      </c>
      <c r="R60" s="28" t="s">
        <v>263</v>
      </c>
      <c r="S60" s="29" t="s">
        <v>368</v>
      </c>
      <c r="T60" s="29" t="s">
        <v>160</v>
      </c>
      <c r="U60" s="29" t="s">
        <v>1585</v>
      </c>
      <c r="V60" s="29" t="s">
        <v>1585</v>
      </c>
      <c r="W60" s="29"/>
      <c r="Y60" s="29" t="s">
        <v>196</v>
      </c>
      <c r="Z60" s="29" t="s">
        <v>196</v>
      </c>
      <c r="AA60" s="29" t="s">
        <v>196</v>
      </c>
      <c r="AB60" s="29" t="s">
        <v>196</v>
      </c>
      <c r="AC60" s="29" t="s">
        <v>214</v>
      </c>
      <c r="AD60" s="29"/>
      <c r="AE60" s="29"/>
    </row>
    <row r="61" spans="1:31" x14ac:dyDescent="0.25">
      <c r="A61" s="25"/>
      <c r="B61" s="26"/>
      <c r="C61" s="29"/>
      <c r="D61" s="29" t="s">
        <v>375</v>
      </c>
      <c r="E61" s="29" t="s">
        <v>239</v>
      </c>
      <c r="F61" s="29"/>
      <c r="G61" s="29" t="s">
        <v>375</v>
      </c>
      <c r="I61" s="28" t="s">
        <v>707</v>
      </c>
      <c r="K61" s="28" t="s">
        <v>1056</v>
      </c>
      <c r="L61" s="28" t="s">
        <v>707</v>
      </c>
      <c r="Q61" s="28" t="s">
        <v>254</v>
      </c>
      <c r="R61" s="28" t="s">
        <v>261</v>
      </c>
      <c r="S61" s="29" t="s">
        <v>1525</v>
      </c>
      <c r="T61" s="29"/>
      <c r="U61" s="29" t="s">
        <v>201</v>
      </c>
      <c r="V61" s="29" t="s">
        <v>201</v>
      </c>
      <c r="W61" s="29" t="s">
        <v>1692</v>
      </c>
      <c r="X61" s="28" t="s">
        <v>214</v>
      </c>
      <c r="Y61" s="29"/>
      <c r="Z61" s="29"/>
      <c r="AA61" s="29"/>
      <c r="AB61" s="29"/>
      <c r="AC61" s="29"/>
      <c r="AD61" s="29" t="s">
        <v>686</v>
      </c>
      <c r="AE61" s="29"/>
    </row>
    <row r="62" spans="1:31" x14ac:dyDescent="0.25">
      <c r="A62" s="25"/>
      <c r="B62" s="26"/>
      <c r="C62" s="29" t="s">
        <v>212</v>
      </c>
      <c r="D62" s="29" t="s">
        <v>376</v>
      </c>
      <c r="E62" s="29" t="s">
        <v>239</v>
      </c>
      <c r="F62" s="29" t="s">
        <v>392</v>
      </c>
      <c r="G62" s="29" t="s">
        <v>376</v>
      </c>
      <c r="H62" s="28" t="s">
        <v>656</v>
      </c>
      <c r="I62" s="28" t="s">
        <v>708</v>
      </c>
      <c r="J62" s="28" t="s">
        <v>985</v>
      </c>
      <c r="L62" s="28" t="s">
        <v>708</v>
      </c>
      <c r="M62" s="28" t="s">
        <v>441</v>
      </c>
      <c r="N62" s="28" t="s">
        <v>703</v>
      </c>
      <c r="O62" s="28" t="s">
        <v>160</v>
      </c>
      <c r="P62" s="28" t="s">
        <v>622</v>
      </c>
      <c r="Q62" s="28" t="s">
        <v>255</v>
      </c>
      <c r="R62" s="28" t="s">
        <v>245</v>
      </c>
      <c r="S62" s="29" t="s">
        <v>160</v>
      </c>
      <c r="T62" s="29" t="s">
        <v>384</v>
      </c>
      <c r="U62" s="29"/>
      <c r="V62" s="29"/>
      <c r="W62" s="29"/>
      <c r="Y62" s="29" t="s">
        <v>685</v>
      </c>
      <c r="Z62" s="29" t="s">
        <v>685</v>
      </c>
      <c r="AA62" s="29" t="s">
        <v>685</v>
      </c>
      <c r="AB62" s="29" t="s">
        <v>685</v>
      </c>
      <c r="AC62" s="29" t="s">
        <v>1961</v>
      </c>
      <c r="AD62" s="29" t="s">
        <v>687</v>
      </c>
      <c r="AE62" s="29"/>
    </row>
    <row r="63" spans="1:31" x14ac:dyDescent="0.25">
      <c r="A63" s="25"/>
      <c r="B63" s="26"/>
      <c r="C63" s="29" t="s">
        <v>212</v>
      </c>
      <c r="D63" s="29"/>
      <c r="E63" s="29" t="s">
        <v>239</v>
      </c>
      <c r="F63" s="29" t="s">
        <v>393</v>
      </c>
      <c r="G63" s="29"/>
      <c r="I63" s="28" t="s">
        <v>709</v>
      </c>
      <c r="K63" s="28" t="s">
        <v>1055</v>
      </c>
      <c r="L63" s="28" t="s">
        <v>709</v>
      </c>
      <c r="N63" s="28" t="s">
        <v>368</v>
      </c>
      <c r="P63" s="28" t="s">
        <v>1333</v>
      </c>
      <c r="Q63" s="28" t="s">
        <v>248</v>
      </c>
      <c r="R63" s="28" t="s">
        <v>264</v>
      </c>
      <c r="S63" s="29"/>
      <c r="T63" s="29"/>
      <c r="U63" s="29" t="s">
        <v>1586</v>
      </c>
      <c r="V63" s="29" t="s">
        <v>1586</v>
      </c>
      <c r="W63" s="29" t="s">
        <v>199</v>
      </c>
      <c r="X63" s="28" t="s">
        <v>196</v>
      </c>
      <c r="Y63" s="29"/>
      <c r="Z63" s="29"/>
      <c r="AA63" s="29"/>
      <c r="AB63" s="29"/>
      <c r="AC63" s="29" t="s">
        <v>1962</v>
      </c>
      <c r="AD63" s="29"/>
      <c r="AE63" s="29"/>
    </row>
    <row r="64" spans="1:31" x14ac:dyDescent="0.25">
      <c r="A64" s="25"/>
      <c r="B64" s="26"/>
      <c r="C64" s="29" t="s">
        <v>212</v>
      </c>
      <c r="D64" s="29" t="s">
        <v>377</v>
      </c>
      <c r="E64" s="29" t="s">
        <v>239</v>
      </c>
      <c r="F64" s="29" t="s">
        <v>160</v>
      </c>
      <c r="G64" s="29" t="s">
        <v>609</v>
      </c>
      <c r="H64" s="28" t="s">
        <v>657</v>
      </c>
      <c r="J64" s="28" t="s">
        <v>285</v>
      </c>
      <c r="M64" s="28" t="s">
        <v>244</v>
      </c>
      <c r="O64" s="28" t="s">
        <v>1282</v>
      </c>
      <c r="P64" s="28" t="s">
        <v>624</v>
      </c>
      <c r="Q64" s="28" t="s">
        <v>246</v>
      </c>
      <c r="S64" s="29" t="s">
        <v>384</v>
      </c>
      <c r="T64" s="29" t="s">
        <v>391</v>
      </c>
      <c r="U64" s="29"/>
      <c r="V64" s="29"/>
      <c r="W64" s="29"/>
      <c r="Y64" s="29" t="s">
        <v>688</v>
      </c>
      <c r="Z64" s="29" t="s">
        <v>688</v>
      </c>
      <c r="AA64" s="29" t="s">
        <v>688</v>
      </c>
      <c r="AB64" s="29" t="s">
        <v>688</v>
      </c>
      <c r="AC64" s="29" t="s">
        <v>1154</v>
      </c>
      <c r="AD64" s="29" t="s">
        <v>688</v>
      </c>
      <c r="AE64" s="29"/>
    </row>
    <row r="65" spans="1:31" x14ac:dyDescent="0.25">
      <c r="A65" s="25"/>
      <c r="B65" s="26"/>
      <c r="C65" s="29" t="s">
        <v>212</v>
      </c>
      <c r="D65" s="29"/>
      <c r="E65" s="29" t="s">
        <v>239</v>
      </c>
      <c r="F65" s="29" t="s">
        <v>160</v>
      </c>
      <c r="G65" s="29"/>
      <c r="I65" s="28" t="s">
        <v>684</v>
      </c>
      <c r="K65" s="28" t="s">
        <v>1051</v>
      </c>
      <c r="L65" s="28" t="s">
        <v>686</v>
      </c>
      <c r="N65" s="28" t="s">
        <v>1168</v>
      </c>
      <c r="P65" s="28" t="s">
        <v>625</v>
      </c>
      <c r="Q65" s="28" t="s">
        <v>256</v>
      </c>
      <c r="R65" s="28" t="s">
        <v>255</v>
      </c>
      <c r="S65" s="29"/>
      <c r="T65" s="29"/>
      <c r="U65" s="29" t="s">
        <v>1587</v>
      </c>
      <c r="V65" s="29" t="s">
        <v>1587</v>
      </c>
      <c r="W65" s="29" t="s">
        <v>200</v>
      </c>
      <c r="X65" s="28" t="s">
        <v>688</v>
      </c>
      <c r="Y65" s="29"/>
      <c r="Z65" s="29"/>
      <c r="AA65" s="29"/>
      <c r="AB65" s="29"/>
      <c r="AC65" s="29"/>
      <c r="AD65" s="29"/>
      <c r="AE65" s="29"/>
    </row>
    <row r="66" spans="1:31" x14ac:dyDescent="0.25">
      <c r="A66" s="25"/>
      <c r="B66" s="26"/>
      <c r="C66" s="29" t="s">
        <v>160</v>
      </c>
      <c r="D66" s="29" t="s">
        <v>378</v>
      </c>
      <c r="E66" s="29" t="s">
        <v>239</v>
      </c>
      <c r="F66" s="29" t="s">
        <v>211</v>
      </c>
      <c r="G66" s="29" t="s">
        <v>378</v>
      </c>
      <c r="H66" s="28" t="s">
        <v>284</v>
      </c>
      <c r="I66" s="28" t="s">
        <v>196</v>
      </c>
      <c r="J66" s="28" t="s">
        <v>285</v>
      </c>
      <c r="L66" s="28" t="s">
        <v>687</v>
      </c>
      <c r="M66" s="28" t="s">
        <v>244</v>
      </c>
      <c r="O66" s="28" t="s">
        <v>243</v>
      </c>
      <c r="P66" s="28" t="s">
        <v>626</v>
      </c>
      <c r="S66" s="29" t="s">
        <v>391</v>
      </c>
      <c r="T66" s="29" t="s">
        <v>395</v>
      </c>
      <c r="U66" s="29"/>
      <c r="V66" s="29"/>
      <c r="W66" s="29"/>
      <c r="Y66" s="29" t="s">
        <v>198</v>
      </c>
      <c r="Z66" s="29" t="s">
        <v>198</v>
      </c>
      <c r="AA66" s="29" t="s">
        <v>198</v>
      </c>
      <c r="AB66" s="29" t="s">
        <v>198</v>
      </c>
      <c r="AC66" s="29" t="s">
        <v>1963</v>
      </c>
      <c r="AD66" s="29" t="s">
        <v>198</v>
      </c>
      <c r="AE66" s="29"/>
    </row>
    <row r="67" spans="1:31" x14ac:dyDescent="0.25">
      <c r="A67" s="25"/>
      <c r="B67" s="26"/>
      <c r="C67" s="29" t="s">
        <v>160</v>
      </c>
      <c r="D67" s="29" t="s">
        <v>378</v>
      </c>
      <c r="E67" s="29" t="s">
        <v>239</v>
      </c>
      <c r="F67" s="29"/>
      <c r="G67" s="29" t="s">
        <v>378</v>
      </c>
      <c r="K67" s="28" t="s">
        <v>989</v>
      </c>
      <c r="N67" s="28" t="s">
        <v>704</v>
      </c>
      <c r="P67" s="28" t="s">
        <v>627</v>
      </c>
      <c r="Q67" s="28" t="s">
        <v>254</v>
      </c>
      <c r="R67" s="28" t="s">
        <v>250</v>
      </c>
      <c r="S67" s="29"/>
      <c r="T67" s="29" t="s">
        <v>396</v>
      </c>
      <c r="U67" s="29" t="s">
        <v>1588</v>
      </c>
      <c r="V67" s="29" t="s">
        <v>1588</v>
      </c>
      <c r="W67" s="29" t="s">
        <v>1693</v>
      </c>
      <c r="X67" s="28" t="s">
        <v>1733</v>
      </c>
      <c r="Y67" s="29"/>
      <c r="Z67" s="29"/>
      <c r="AA67" s="29"/>
      <c r="AB67" s="29"/>
      <c r="AC67" s="29"/>
      <c r="AD67" s="29"/>
      <c r="AE67" s="29"/>
    </row>
    <row r="68" spans="1:31" x14ac:dyDescent="0.25">
      <c r="A68" s="25"/>
      <c r="B68" s="26"/>
      <c r="C68" s="29" t="s">
        <v>160</v>
      </c>
      <c r="D68" s="29" t="s">
        <v>160</v>
      </c>
      <c r="E68" s="29" t="s">
        <v>239</v>
      </c>
      <c r="F68" s="29" t="s">
        <v>212</v>
      </c>
      <c r="G68" s="29" t="s">
        <v>160</v>
      </c>
      <c r="H68" s="28" t="s">
        <v>658</v>
      </c>
      <c r="I68" s="28" t="s">
        <v>685</v>
      </c>
      <c r="J68" s="28" t="s">
        <v>986</v>
      </c>
      <c r="K68" s="28" t="s">
        <v>677</v>
      </c>
      <c r="L68" s="28" t="s">
        <v>688</v>
      </c>
      <c r="M68" s="28" t="s">
        <v>1130</v>
      </c>
      <c r="N68" s="28" t="s">
        <v>705</v>
      </c>
      <c r="O68" s="28" t="s">
        <v>160</v>
      </c>
      <c r="Q68" s="28" t="s">
        <v>255</v>
      </c>
      <c r="R68" s="28" t="s">
        <v>261</v>
      </c>
      <c r="S68" s="29" t="s">
        <v>395</v>
      </c>
      <c r="T68" s="29"/>
      <c r="U68" s="29"/>
      <c r="V68" s="29"/>
      <c r="W68" s="29" t="s">
        <v>1694</v>
      </c>
      <c r="Y68" s="29" t="s">
        <v>214</v>
      </c>
      <c r="Z68" s="29" t="s">
        <v>214</v>
      </c>
      <c r="AA68" s="29" t="s">
        <v>214</v>
      </c>
      <c r="AB68" s="29" t="s">
        <v>214</v>
      </c>
      <c r="AC68" s="29" t="s">
        <v>160</v>
      </c>
      <c r="AD68" s="29" t="s">
        <v>214</v>
      </c>
      <c r="AE68" s="29"/>
    </row>
    <row r="69" spans="1:31" x14ac:dyDescent="0.25">
      <c r="A69" s="25"/>
      <c r="B69" s="26"/>
      <c r="C69" s="29" t="s">
        <v>160</v>
      </c>
      <c r="D69" s="29"/>
      <c r="E69" s="29" t="s">
        <v>239</v>
      </c>
      <c r="F69" s="29"/>
      <c r="G69" s="29"/>
      <c r="K69" s="28" t="s">
        <v>864</v>
      </c>
      <c r="O69" s="28" t="s">
        <v>160</v>
      </c>
      <c r="P69" s="28" t="s">
        <v>628</v>
      </c>
      <c r="R69" s="28" t="s">
        <v>245</v>
      </c>
      <c r="S69" s="29" t="s">
        <v>396</v>
      </c>
      <c r="T69" s="29" t="s">
        <v>397</v>
      </c>
      <c r="U69" s="29" t="s">
        <v>217</v>
      </c>
      <c r="V69" s="29" t="s">
        <v>217</v>
      </c>
      <c r="W69" s="29" t="s">
        <v>1694</v>
      </c>
      <c r="X69" s="28" t="s">
        <v>217</v>
      </c>
      <c r="Y69" s="29"/>
      <c r="Z69" s="29"/>
      <c r="AA69" s="29"/>
      <c r="AB69" s="29"/>
      <c r="AC69" s="29"/>
      <c r="AD69" s="29"/>
      <c r="AE69" s="29"/>
    </row>
    <row r="70" spans="1:31" x14ac:dyDescent="0.25">
      <c r="A70" s="25"/>
      <c r="B70" s="26"/>
      <c r="C70" s="29" t="s">
        <v>160</v>
      </c>
      <c r="D70" s="29" t="s">
        <v>379</v>
      </c>
      <c r="E70" s="29" t="s">
        <v>239</v>
      </c>
      <c r="F70" s="29" t="s">
        <v>384</v>
      </c>
      <c r="G70" s="29" t="s">
        <v>610</v>
      </c>
      <c r="H70" s="28" t="s">
        <v>160</v>
      </c>
      <c r="I70" s="28" t="s">
        <v>283</v>
      </c>
      <c r="J70" s="28" t="s">
        <v>987</v>
      </c>
      <c r="L70" s="28" t="s">
        <v>198</v>
      </c>
      <c r="M70" s="28" t="s">
        <v>243</v>
      </c>
      <c r="N70" s="28" t="s">
        <v>1169</v>
      </c>
      <c r="P70" s="28" t="s">
        <v>629</v>
      </c>
      <c r="Q70" s="28" t="s">
        <v>257</v>
      </c>
      <c r="R70" s="28" t="s">
        <v>263</v>
      </c>
      <c r="S70" s="29"/>
      <c r="T70" s="29" t="s">
        <v>398</v>
      </c>
      <c r="U70" s="29"/>
      <c r="V70" s="29"/>
      <c r="W70" s="29"/>
      <c r="Y70" s="29" t="s">
        <v>283</v>
      </c>
      <c r="Z70" s="29" t="s">
        <v>283</v>
      </c>
      <c r="AA70" s="29" t="s">
        <v>283</v>
      </c>
      <c r="AB70" s="29" t="s">
        <v>283</v>
      </c>
      <c r="AC70" s="29" t="s">
        <v>283</v>
      </c>
      <c r="AD70" s="29" t="s">
        <v>1959</v>
      </c>
      <c r="AE70" s="29"/>
    </row>
    <row r="71" spans="1:31" x14ac:dyDescent="0.25">
      <c r="A71" s="25"/>
      <c r="B71" s="26"/>
      <c r="C71" s="29" t="s">
        <v>160</v>
      </c>
      <c r="D71" s="29"/>
      <c r="E71" s="29" t="s">
        <v>239</v>
      </c>
      <c r="F71" s="29"/>
      <c r="G71" s="29"/>
      <c r="K71" s="28" t="s">
        <v>1052</v>
      </c>
      <c r="N71" s="28" t="s">
        <v>1170</v>
      </c>
      <c r="O71" s="28" t="s">
        <v>160</v>
      </c>
      <c r="P71" s="28" t="s">
        <v>630</v>
      </c>
      <c r="Q71" s="28" t="s">
        <v>247</v>
      </c>
      <c r="R71" s="28" t="s">
        <v>254</v>
      </c>
      <c r="S71" s="29" t="s">
        <v>397</v>
      </c>
      <c r="T71" s="29"/>
      <c r="U71" s="29" t="s">
        <v>1589</v>
      </c>
      <c r="V71" s="29" t="s">
        <v>1589</v>
      </c>
      <c r="W71" s="29" t="s">
        <v>1678</v>
      </c>
      <c r="X71" s="28" t="s">
        <v>1590</v>
      </c>
      <c r="Y71" s="29"/>
      <c r="Z71" s="29"/>
      <c r="AA71" s="29"/>
      <c r="AB71" s="29"/>
      <c r="AC71" s="29"/>
      <c r="AD71" s="29"/>
      <c r="AE71" s="29"/>
    </row>
    <row r="72" spans="1:31" x14ac:dyDescent="0.25">
      <c r="A72" s="25"/>
      <c r="B72" s="26"/>
      <c r="C72" s="29" t="s">
        <v>160</v>
      </c>
      <c r="D72" s="29" t="s">
        <v>380</v>
      </c>
      <c r="E72" s="29" t="s">
        <v>239</v>
      </c>
      <c r="F72" s="29" t="s">
        <v>395</v>
      </c>
      <c r="G72" s="29" t="s">
        <v>380</v>
      </c>
      <c r="H72" s="28" t="s">
        <v>243</v>
      </c>
      <c r="I72" s="28" t="s">
        <v>689</v>
      </c>
      <c r="J72" s="28" t="s">
        <v>285</v>
      </c>
      <c r="L72" s="28" t="s">
        <v>214</v>
      </c>
      <c r="M72" s="28" t="s">
        <v>1131</v>
      </c>
      <c r="N72" s="28" t="s">
        <v>1171</v>
      </c>
      <c r="P72" s="28" t="s">
        <v>631</v>
      </c>
      <c r="Q72" s="28" t="s">
        <v>258</v>
      </c>
      <c r="R72" s="28" t="s">
        <v>253</v>
      </c>
      <c r="S72" s="29" t="s">
        <v>398</v>
      </c>
      <c r="T72" s="29" t="s">
        <v>400</v>
      </c>
      <c r="U72" s="29"/>
      <c r="V72" s="29"/>
      <c r="W72" s="29"/>
      <c r="Y72" s="29" t="s">
        <v>689</v>
      </c>
      <c r="Z72" s="29" t="s">
        <v>689</v>
      </c>
      <c r="AA72" s="29" t="s">
        <v>689</v>
      </c>
      <c r="AB72" s="29" t="s">
        <v>689</v>
      </c>
      <c r="AC72" s="29" t="s">
        <v>689</v>
      </c>
      <c r="AD72" s="29" t="s">
        <v>1964</v>
      </c>
      <c r="AE72" s="29"/>
    </row>
    <row r="73" spans="1:31" x14ac:dyDescent="0.25">
      <c r="A73" s="25"/>
      <c r="B73" s="26"/>
      <c r="C73" s="29" t="s">
        <v>160</v>
      </c>
      <c r="D73" s="29"/>
      <c r="E73" s="29"/>
      <c r="F73" s="29" t="s">
        <v>396</v>
      </c>
      <c r="G73" s="29"/>
      <c r="K73" s="28" t="s">
        <v>285</v>
      </c>
      <c r="N73" s="28" t="s">
        <v>1172</v>
      </c>
      <c r="O73" s="28" t="s">
        <v>684</v>
      </c>
      <c r="P73" s="28" t="s">
        <v>632</v>
      </c>
      <c r="Q73" s="28" t="s">
        <v>259</v>
      </c>
      <c r="S73" s="29"/>
      <c r="T73" s="29" t="s">
        <v>401</v>
      </c>
      <c r="U73" s="29" t="s">
        <v>201</v>
      </c>
      <c r="V73" s="29" t="s">
        <v>201</v>
      </c>
      <c r="W73" s="29" t="s">
        <v>419</v>
      </c>
      <c r="X73" s="28" t="s">
        <v>201</v>
      </c>
      <c r="Y73" s="29"/>
      <c r="Z73" s="29"/>
      <c r="AA73" s="29"/>
      <c r="AB73" s="29"/>
      <c r="AC73" s="29"/>
      <c r="AD73" s="29" t="s">
        <v>1154</v>
      </c>
      <c r="AE73" s="29"/>
    </row>
    <row r="74" spans="1:31" x14ac:dyDescent="0.25">
      <c r="A74" s="25"/>
      <c r="B74" s="26"/>
      <c r="C74" s="29" t="s">
        <v>213</v>
      </c>
      <c r="D74" s="29" t="s">
        <v>238</v>
      </c>
      <c r="E74" s="29" t="s">
        <v>378</v>
      </c>
      <c r="F74" s="29"/>
      <c r="G74" s="29" t="s">
        <v>238</v>
      </c>
      <c r="H74" s="28" t="s">
        <v>659</v>
      </c>
      <c r="I74" s="28" t="s">
        <v>690</v>
      </c>
      <c r="J74" s="28" t="s">
        <v>419</v>
      </c>
      <c r="L74" s="28" t="s">
        <v>1117</v>
      </c>
      <c r="M74" s="28" t="s">
        <v>1132</v>
      </c>
      <c r="N74" s="28" t="s">
        <v>1173</v>
      </c>
      <c r="O74" s="28" t="s">
        <v>196</v>
      </c>
      <c r="P74" s="28" t="s">
        <v>633</v>
      </c>
      <c r="R74" s="28" t="s">
        <v>254</v>
      </c>
      <c r="S74" s="29" t="s">
        <v>400</v>
      </c>
      <c r="T74" s="29" t="s">
        <v>1526</v>
      </c>
      <c r="U74" s="29"/>
      <c r="V74" s="29"/>
      <c r="W74" s="29" t="s">
        <v>419</v>
      </c>
      <c r="Y74" s="29" t="s">
        <v>690</v>
      </c>
      <c r="Z74" s="29" t="s">
        <v>690</v>
      </c>
      <c r="AA74" s="29" t="s">
        <v>690</v>
      </c>
      <c r="AB74" s="29" t="s">
        <v>690</v>
      </c>
      <c r="AC74" s="29" t="s">
        <v>690</v>
      </c>
      <c r="AD74" s="29"/>
      <c r="AE74" s="29"/>
    </row>
    <row r="75" spans="1:31" x14ac:dyDescent="0.25">
      <c r="A75" s="25"/>
      <c r="B75" s="26"/>
      <c r="C75" s="29"/>
      <c r="D75" s="29"/>
      <c r="E75" s="29" t="s">
        <v>378</v>
      </c>
      <c r="F75" s="29" t="s">
        <v>391</v>
      </c>
      <c r="G75" s="29"/>
      <c r="I75" s="28" t="s">
        <v>691</v>
      </c>
      <c r="K75" s="28" t="s">
        <v>285</v>
      </c>
      <c r="N75" s="28" t="s">
        <v>1174</v>
      </c>
      <c r="Q75" s="28" t="s">
        <v>247</v>
      </c>
      <c r="R75" s="28" t="s">
        <v>255</v>
      </c>
      <c r="S75" s="29" t="s">
        <v>401</v>
      </c>
      <c r="T75" s="29"/>
      <c r="U75" s="29" t="s">
        <v>1583</v>
      </c>
      <c r="V75" s="29" t="s">
        <v>1663</v>
      </c>
      <c r="W75" s="29" t="s">
        <v>160</v>
      </c>
      <c r="X75" s="28" t="s">
        <v>1734</v>
      </c>
      <c r="Y75" s="29" t="s">
        <v>691</v>
      </c>
      <c r="Z75" s="29" t="s">
        <v>691</v>
      </c>
      <c r="AA75" s="29" t="s">
        <v>691</v>
      </c>
      <c r="AB75" s="29" t="s">
        <v>691</v>
      </c>
      <c r="AC75" s="29" t="s">
        <v>691</v>
      </c>
      <c r="AD75" s="29" t="s">
        <v>1958</v>
      </c>
      <c r="AE75" s="29"/>
    </row>
    <row r="76" spans="1:31" x14ac:dyDescent="0.25">
      <c r="A76" s="25"/>
      <c r="B76" s="26"/>
      <c r="C76" s="29" t="s">
        <v>214</v>
      </c>
      <c r="D76" s="29" t="s">
        <v>381</v>
      </c>
      <c r="E76" s="29" t="s">
        <v>160</v>
      </c>
      <c r="F76" s="29"/>
      <c r="G76" s="29" t="s">
        <v>381</v>
      </c>
      <c r="H76" s="28" t="s">
        <v>243</v>
      </c>
      <c r="J76" s="28" t="s">
        <v>545</v>
      </c>
      <c r="L76" s="28" t="s">
        <v>1118</v>
      </c>
      <c r="M76" s="28" t="s">
        <v>243</v>
      </c>
      <c r="N76" s="28" t="s">
        <v>1175</v>
      </c>
      <c r="O76" s="28" t="s">
        <v>685</v>
      </c>
      <c r="P76" s="28" t="s">
        <v>637</v>
      </c>
      <c r="Q76" s="28" t="s">
        <v>260</v>
      </c>
      <c r="R76" s="28" t="s">
        <v>248</v>
      </c>
      <c r="S76" s="29" t="s">
        <v>1526</v>
      </c>
      <c r="T76" s="29" t="s">
        <v>403</v>
      </c>
      <c r="U76" s="29"/>
      <c r="V76" s="29"/>
      <c r="W76" s="29"/>
      <c r="X76" s="28" t="s">
        <v>1734</v>
      </c>
      <c r="Y76" s="29"/>
      <c r="Z76" s="29"/>
      <c r="AA76" s="29"/>
      <c r="AB76" s="29"/>
      <c r="AC76" s="29"/>
      <c r="AD76" s="29"/>
      <c r="AE76" s="29"/>
    </row>
    <row r="77" spans="1:31" x14ac:dyDescent="0.25">
      <c r="A77" s="25"/>
      <c r="B77" s="26"/>
      <c r="C77" s="29" t="s">
        <v>215</v>
      </c>
      <c r="D77" s="29" t="s">
        <v>382</v>
      </c>
      <c r="E77" s="29"/>
      <c r="F77" s="29" t="s">
        <v>397</v>
      </c>
      <c r="G77" s="29" t="s">
        <v>382</v>
      </c>
      <c r="I77" s="28" t="s">
        <v>686</v>
      </c>
      <c r="K77" s="28" t="s">
        <v>1054</v>
      </c>
      <c r="P77" s="28" t="s">
        <v>1334</v>
      </c>
      <c r="Q77" s="28" t="s">
        <v>247</v>
      </c>
      <c r="R77" s="28" t="s">
        <v>246</v>
      </c>
      <c r="S77" s="29"/>
      <c r="T77" s="29" t="s">
        <v>404</v>
      </c>
      <c r="U77" s="29" t="s">
        <v>1590</v>
      </c>
      <c r="V77" s="29" t="s">
        <v>1590</v>
      </c>
      <c r="W77" s="29" t="s">
        <v>918</v>
      </c>
      <c r="X77" s="28" t="s">
        <v>1734</v>
      </c>
      <c r="Y77" s="29" t="s">
        <v>967</v>
      </c>
      <c r="Z77" s="29" t="s">
        <v>1902</v>
      </c>
      <c r="AA77" s="29" t="s">
        <v>1941</v>
      </c>
      <c r="AB77" s="29" t="s">
        <v>1941</v>
      </c>
      <c r="AC77" s="29" t="s">
        <v>1965</v>
      </c>
      <c r="AD77" s="29" t="s">
        <v>160</v>
      </c>
      <c r="AE77" s="29"/>
    </row>
    <row r="78" spans="1:31" x14ac:dyDescent="0.25">
      <c r="A78" s="25"/>
      <c r="B78" s="26"/>
      <c r="C78" s="29" t="s">
        <v>215</v>
      </c>
      <c r="D78" s="29" t="s">
        <v>383</v>
      </c>
      <c r="E78" s="29" t="s">
        <v>190</v>
      </c>
      <c r="F78" s="29" t="s">
        <v>398</v>
      </c>
      <c r="G78" s="29" t="s">
        <v>383</v>
      </c>
      <c r="H78" s="28" t="s">
        <v>419</v>
      </c>
      <c r="I78" s="28" t="s">
        <v>687</v>
      </c>
      <c r="J78" s="28" t="s">
        <v>722</v>
      </c>
      <c r="L78" s="28" t="s">
        <v>160</v>
      </c>
      <c r="M78" s="28" t="s">
        <v>422</v>
      </c>
      <c r="N78" s="28" t="s">
        <v>706</v>
      </c>
      <c r="O78" s="28" t="s">
        <v>283</v>
      </c>
      <c r="P78" s="28" t="s">
        <v>639</v>
      </c>
      <c r="Q78" s="28" t="s">
        <v>261</v>
      </c>
      <c r="R78" s="28" t="s">
        <v>256</v>
      </c>
      <c r="S78" s="29" t="s">
        <v>403</v>
      </c>
      <c r="T78" s="29" t="s">
        <v>1527</v>
      </c>
      <c r="U78" s="29"/>
      <c r="V78" s="29"/>
      <c r="W78" s="29" t="s">
        <v>1264</v>
      </c>
      <c r="Y78" s="29"/>
      <c r="Z78" s="29"/>
      <c r="AA78" s="29"/>
      <c r="AB78" s="29"/>
      <c r="AC78" s="29"/>
      <c r="AD78" s="29"/>
      <c r="AE78" s="29"/>
    </row>
    <row r="79" spans="1:31" x14ac:dyDescent="0.25">
      <c r="A79" s="25"/>
      <c r="B79" s="26"/>
      <c r="C79" s="29" t="s">
        <v>215</v>
      </c>
      <c r="D79" s="29" t="s">
        <v>384</v>
      </c>
      <c r="E79" s="29"/>
      <c r="F79" s="29" t="s">
        <v>399</v>
      </c>
      <c r="G79" s="29" t="s">
        <v>384</v>
      </c>
      <c r="H79" s="28" t="s">
        <v>419</v>
      </c>
      <c r="K79" s="28" t="s">
        <v>419</v>
      </c>
      <c r="M79" s="28" t="s">
        <v>545</v>
      </c>
      <c r="N79" s="28" t="s">
        <v>707</v>
      </c>
      <c r="P79" s="28" t="s">
        <v>640</v>
      </c>
      <c r="Q79" s="28" t="s">
        <v>254</v>
      </c>
      <c r="S79" s="29" t="s">
        <v>404</v>
      </c>
      <c r="T79" s="29"/>
      <c r="U79" s="29" t="s">
        <v>1591</v>
      </c>
      <c r="V79" s="29" t="s">
        <v>1591</v>
      </c>
      <c r="W79" s="29"/>
      <c r="X79" s="28" t="s">
        <v>1495</v>
      </c>
      <c r="Y79" s="29" t="s">
        <v>1876</v>
      </c>
      <c r="Z79" s="29" t="s">
        <v>1903</v>
      </c>
      <c r="AA79" s="29" t="s">
        <v>1942</v>
      </c>
      <c r="AB79" s="29" t="s">
        <v>1942</v>
      </c>
      <c r="AC79" s="29" t="s">
        <v>1966</v>
      </c>
      <c r="AD79" s="29" t="s">
        <v>283</v>
      </c>
      <c r="AE79" s="29"/>
    </row>
    <row r="80" spans="1:31" x14ac:dyDescent="0.25">
      <c r="A80" s="25"/>
      <c r="B80" s="26"/>
      <c r="C80" s="29" t="s">
        <v>215</v>
      </c>
      <c r="D80" s="29"/>
      <c r="E80" s="29" t="s">
        <v>191</v>
      </c>
      <c r="F80" s="29" t="s">
        <v>399</v>
      </c>
      <c r="G80" s="29"/>
      <c r="H80" s="28" t="s">
        <v>243</v>
      </c>
      <c r="I80" s="28" t="s">
        <v>945</v>
      </c>
      <c r="J80" s="28" t="s">
        <v>988</v>
      </c>
      <c r="K80" s="28" t="s">
        <v>212</v>
      </c>
      <c r="L80" s="28" t="s">
        <v>1119</v>
      </c>
      <c r="N80" s="28" t="s">
        <v>708</v>
      </c>
      <c r="O80" s="28" t="s">
        <v>689</v>
      </c>
      <c r="P80" s="28" t="s">
        <v>641</v>
      </c>
      <c r="R80" s="28" t="s">
        <v>265</v>
      </c>
      <c r="S80" s="29" t="s">
        <v>1527</v>
      </c>
      <c r="T80" s="29" t="s">
        <v>405</v>
      </c>
      <c r="U80" s="29" t="s">
        <v>1592</v>
      </c>
      <c r="V80" s="29" t="s">
        <v>1592</v>
      </c>
      <c r="W80" s="29" t="s">
        <v>1259</v>
      </c>
      <c r="X80" s="28" t="s">
        <v>1495</v>
      </c>
      <c r="Y80" s="29"/>
      <c r="Z80" s="29"/>
      <c r="AA80" s="29"/>
      <c r="AB80" s="29"/>
      <c r="AC80" s="29"/>
      <c r="AD80" s="29"/>
      <c r="AE80" s="29"/>
    </row>
    <row r="81" spans="1:31" x14ac:dyDescent="0.25">
      <c r="A81" s="25"/>
      <c r="B81" s="26"/>
      <c r="C81" s="29" t="s">
        <v>215</v>
      </c>
      <c r="D81" s="29" t="s">
        <v>211</v>
      </c>
      <c r="E81" s="29"/>
      <c r="F81" s="29"/>
      <c r="G81" s="29" t="s">
        <v>211</v>
      </c>
      <c r="L81" s="28" t="s">
        <v>1120</v>
      </c>
      <c r="M81" s="28" t="s">
        <v>1133</v>
      </c>
      <c r="N81" s="28" t="s">
        <v>709</v>
      </c>
      <c r="P81" s="28" t="s">
        <v>642</v>
      </c>
      <c r="Q81" s="28" t="s">
        <v>262</v>
      </c>
      <c r="R81" s="28" t="s">
        <v>266</v>
      </c>
      <c r="S81" s="29"/>
      <c r="T81" s="29" t="s">
        <v>406</v>
      </c>
      <c r="U81" s="29" t="s">
        <v>1584</v>
      </c>
      <c r="V81" s="29" t="s">
        <v>1664</v>
      </c>
      <c r="W81" s="29"/>
      <c r="X81" s="28" t="s">
        <v>1495</v>
      </c>
      <c r="Y81" s="29" t="s">
        <v>1876</v>
      </c>
      <c r="Z81" s="29" t="s">
        <v>1903</v>
      </c>
      <c r="AA81" s="29" t="s">
        <v>1942</v>
      </c>
      <c r="AB81" s="29" t="s">
        <v>1942</v>
      </c>
      <c r="AC81" s="29" t="s">
        <v>1966</v>
      </c>
      <c r="AD81" s="29" t="s">
        <v>689</v>
      </c>
      <c r="AE81" s="29"/>
    </row>
    <row r="82" spans="1:31" x14ac:dyDescent="0.25">
      <c r="A82" s="25"/>
      <c r="B82" s="26"/>
      <c r="C82" s="29" t="s">
        <v>215</v>
      </c>
      <c r="D82" s="29"/>
      <c r="E82" s="29" t="s">
        <v>380</v>
      </c>
      <c r="F82" s="29" t="s">
        <v>400</v>
      </c>
      <c r="G82" s="29"/>
      <c r="H82" s="28" t="s">
        <v>420</v>
      </c>
      <c r="I82" s="28" t="s">
        <v>688</v>
      </c>
      <c r="J82" s="28" t="s">
        <v>243</v>
      </c>
      <c r="K82" s="28" t="s">
        <v>424</v>
      </c>
      <c r="L82" s="28" t="s">
        <v>1121</v>
      </c>
      <c r="O82" s="28" t="s">
        <v>690</v>
      </c>
      <c r="R82" s="28" t="s">
        <v>267</v>
      </c>
      <c r="S82" s="29" t="s">
        <v>405</v>
      </c>
      <c r="T82" s="29" t="s">
        <v>1528</v>
      </c>
      <c r="U82" s="29" t="s">
        <v>1593</v>
      </c>
      <c r="V82" s="29" t="s">
        <v>1593</v>
      </c>
      <c r="W82" s="29" t="s">
        <v>1695</v>
      </c>
      <c r="Y82" s="29"/>
      <c r="Z82" s="29"/>
      <c r="AA82" s="29"/>
      <c r="AB82" s="29"/>
      <c r="AC82" s="29"/>
      <c r="AD82" s="29"/>
      <c r="AE82" s="29"/>
    </row>
    <row r="83" spans="1:31" x14ac:dyDescent="0.25">
      <c r="A83" s="25"/>
      <c r="B83" s="26"/>
      <c r="C83" s="29" t="s">
        <v>215</v>
      </c>
      <c r="D83" s="29" t="s">
        <v>160</v>
      </c>
      <c r="E83" s="29"/>
      <c r="F83" s="29" t="s">
        <v>401</v>
      </c>
      <c r="G83" s="29" t="s">
        <v>160</v>
      </c>
      <c r="H83" s="28" t="s">
        <v>420</v>
      </c>
      <c r="M83" s="28" t="s">
        <v>1134</v>
      </c>
      <c r="N83" s="28" t="s">
        <v>160</v>
      </c>
      <c r="O83" s="28" t="s">
        <v>691</v>
      </c>
      <c r="P83" s="28" t="s">
        <v>643</v>
      </c>
      <c r="Q83" s="28" t="s">
        <v>254</v>
      </c>
      <c r="R83" s="28" t="s">
        <v>268</v>
      </c>
      <c r="S83" s="29" t="s">
        <v>406</v>
      </c>
      <c r="T83" s="29"/>
      <c r="U83" s="29" t="s">
        <v>1594</v>
      </c>
      <c r="V83" s="29" t="s">
        <v>1594</v>
      </c>
      <c r="W83" s="29"/>
      <c r="X83" s="28" t="s">
        <v>1355</v>
      </c>
      <c r="Y83" s="29" t="s">
        <v>703</v>
      </c>
      <c r="Z83" s="29" t="s">
        <v>703</v>
      </c>
      <c r="AA83" s="29" t="s">
        <v>703</v>
      </c>
      <c r="AB83" s="29" t="s">
        <v>703</v>
      </c>
      <c r="AC83" s="29" t="s">
        <v>223</v>
      </c>
      <c r="AD83" s="29" t="s">
        <v>690</v>
      </c>
      <c r="AE83" s="29"/>
    </row>
    <row r="84" spans="1:31" x14ac:dyDescent="0.25">
      <c r="A84" s="25"/>
      <c r="B84" s="26"/>
      <c r="C84" s="29" t="s">
        <v>215</v>
      </c>
      <c r="D84" s="29"/>
      <c r="E84" s="29" t="s">
        <v>225</v>
      </c>
      <c r="F84" s="29" t="s">
        <v>402</v>
      </c>
      <c r="G84" s="29"/>
      <c r="I84" s="28" t="s">
        <v>198</v>
      </c>
      <c r="J84" s="28" t="s">
        <v>243</v>
      </c>
      <c r="K84" s="28" t="s">
        <v>1055</v>
      </c>
      <c r="L84" s="28" t="s">
        <v>1122</v>
      </c>
      <c r="N84" s="28" t="s">
        <v>160</v>
      </c>
      <c r="P84" s="28" t="s">
        <v>644</v>
      </c>
      <c r="Q84" s="28" t="s">
        <v>255</v>
      </c>
      <c r="S84" s="29" t="s">
        <v>1528</v>
      </c>
      <c r="T84" s="29" t="s">
        <v>367</v>
      </c>
      <c r="U84" s="29" t="s">
        <v>1595</v>
      </c>
      <c r="V84" s="29" t="s">
        <v>1595</v>
      </c>
      <c r="W84" s="29" t="s">
        <v>556</v>
      </c>
      <c r="X84" s="28" t="s">
        <v>1355</v>
      </c>
      <c r="Y84" s="29" t="s">
        <v>728</v>
      </c>
      <c r="Z84" s="29" t="s">
        <v>728</v>
      </c>
      <c r="AA84" s="29" t="s">
        <v>728</v>
      </c>
      <c r="AB84" s="29" t="s">
        <v>728</v>
      </c>
      <c r="AC84" s="29"/>
      <c r="AD84" s="29" t="s">
        <v>691</v>
      </c>
      <c r="AE84" s="29"/>
    </row>
    <row r="85" spans="1:31" x14ac:dyDescent="0.25">
      <c r="A85" s="25"/>
      <c r="B85" s="26"/>
      <c r="C85" s="29" t="s">
        <v>215</v>
      </c>
      <c r="D85" s="29" t="s">
        <v>201</v>
      </c>
      <c r="E85" s="29" t="s">
        <v>225</v>
      </c>
      <c r="F85" s="29" t="s">
        <v>402</v>
      </c>
      <c r="G85" s="29" t="s">
        <v>201</v>
      </c>
      <c r="H85" s="28" t="s">
        <v>244</v>
      </c>
      <c r="J85" s="28" t="s">
        <v>212</v>
      </c>
      <c r="M85" s="28" t="s">
        <v>676</v>
      </c>
      <c r="N85" s="28" t="s">
        <v>160</v>
      </c>
      <c r="O85" s="28" t="s">
        <v>703</v>
      </c>
      <c r="P85" s="28" t="s">
        <v>645</v>
      </c>
      <c r="Q85" s="28" t="s">
        <v>263</v>
      </c>
      <c r="R85" s="28" t="s">
        <v>269</v>
      </c>
      <c r="S85" s="29"/>
      <c r="T85" s="29" t="s">
        <v>368</v>
      </c>
      <c r="U85" s="29"/>
      <c r="V85" s="29"/>
      <c r="W85" s="29"/>
      <c r="X85" s="28" t="s">
        <v>1355</v>
      </c>
      <c r="Y85" s="29" t="s">
        <v>729</v>
      </c>
      <c r="Z85" s="29" t="s">
        <v>729</v>
      </c>
      <c r="AA85" s="29" t="s">
        <v>729</v>
      </c>
      <c r="AB85" s="29" t="s">
        <v>729</v>
      </c>
      <c r="AC85" s="29" t="s">
        <v>1155</v>
      </c>
      <c r="AD85" s="29"/>
      <c r="AE85" s="29"/>
    </row>
    <row r="86" spans="1:31" x14ac:dyDescent="0.25">
      <c r="A86" s="25"/>
      <c r="B86" s="26"/>
      <c r="C86" s="29" t="s">
        <v>215</v>
      </c>
      <c r="D86" s="29"/>
      <c r="E86" s="29" t="s">
        <v>225</v>
      </c>
      <c r="F86" s="29"/>
      <c r="G86" s="29"/>
      <c r="H86" s="28" t="s">
        <v>419</v>
      </c>
      <c r="I86" s="28" t="s">
        <v>214</v>
      </c>
      <c r="K86" s="28" t="s">
        <v>1056</v>
      </c>
      <c r="L86" s="28" t="s">
        <v>1120</v>
      </c>
      <c r="M86" s="28" t="s">
        <v>677</v>
      </c>
      <c r="N86" s="28" t="s">
        <v>160</v>
      </c>
      <c r="O86" s="28" t="s">
        <v>368</v>
      </c>
      <c r="P86" s="28" t="s">
        <v>646</v>
      </c>
      <c r="Q86" s="28" t="s">
        <v>261</v>
      </c>
      <c r="R86" s="28" t="s">
        <v>270</v>
      </c>
      <c r="S86" s="29" t="s">
        <v>367</v>
      </c>
      <c r="T86" s="29"/>
      <c r="U86" s="29" t="s">
        <v>1583</v>
      </c>
      <c r="V86" s="29" t="s">
        <v>1663</v>
      </c>
      <c r="W86" s="29" t="s">
        <v>1519</v>
      </c>
      <c r="Y86" s="29" t="s">
        <v>730</v>
      </c>
      <c r="Z86" s="29" t="s">
        <v>730</v>
      </c>
      <c r="AA86" s="29" t="s">
        <v>730</v>
      </c>
      <c r="AB86" s="29" t="s">
        <v>730</v>
      </c>
      <c r="AC86" s="29"/>
      <c r="AD86" s="29" t="s">
        <v>1960</v>
      </c>
      <c r="AE86" s="29"/>
    </row>
    <row r="87" spans="1:31" x14ac:dyDescent="0.25">
      <c r="A87" s="25"/>
      <c r="B87" s="26"/>
      <c r="C87" s="29" t="s">
        <v>215</v>
      </c>
      <c r="D87" s="29" t="s">
        <v>217</v>
      </c>
      <c r="E87" s="29" t="s">
        <v>225</v>
      </c>
      <c r="F87" s="29" t="s">
        <v>403</v>
      </c>
      <c r="G87" s="29" t="s">
        <v>217</v>
      </c>
      <c r="H87" s="28" t="s">
        <v>244</v>
      </c>
      <c r="J87" s="28" t="s">
        <v>545</v>
      </c>
      <c r="N87" s="28" t="s">
        <v>160</v>
      </c>
      <c r="P87" s="28" t="s">
        <v>647</v>
      </c>
      <c r="Q87" s="28" t="s">
        <v>245</v>
      </c>
      <c r="R87" s="28" t="s">
        <v>268</v>
      </c>
      <c r="S87" s="29" t="s">
        <v>368</v>
      </c>
      <c r="T87" s="29" t="s">
        <v>186</v>
      </c>
      <c r="U87" s="29"/>
      <c r="V87" s="29"/>
      <c r="W87" s="29"/>
      <c r="X87" s="28" t="s">
        <v>1735</v>
      </c>
      <c r="Y87" s="29" t="s">
        <v>225</v>
      </c>
      <c r="Z87" s="29" t="s">
        <v>225</v>
      </c>
      <c r="AA87" s="29" t="s">
        <v>225</v>
      </c>
      <c r="AB87" s="29" t="s">
        <v>225</v>
      </c>
      <c r="AC87" s="29" t="s">
        <v>1967</v>
      </c>
      <c r="AD87" s="29"/>
      <c r="AE87" s="29"/>
    </row>
    <row r="88" spans="1:31" x14ac:dyDescent="0.25">
      <c r="A88" s="25"/>
      <c r="B88" s="26"/>
      <c r="C88" s="29" t="s">
        <v>215</v>
      </c>
      <c r="D88" s="29" t="s">
        <v>385</v>
      </c>
      <c r="E88" s="29" t="s">
        <v>225</v>
      </c>
      <c r="F88" s="29" t="s">
        <v>404</v>
      </c>
      <c r="G88" s="29" t="s">
        <v>488</v>
      </c>
      <c r="I88" s="28" t="s">
        <v>946</v>
      </c>
      <c r="K88" s="28" t="s">
        <v>424</v>
      </c>
      <c r="L88" s="28" t="s">
        <v>684</v>
      </c>
      <c r="M88" s="28" t="s">
        <v>1133</v>
      </c>
      <c r="N88" s="28" t="s">
        <v>160</v>
      </c>
      <c r="O88" s="28" t="s">
        <v>1279</v>
      </c>
      <c r="P88" s="28" t="s">
        <v>648</v>
      </c>
      <c r="Q88" s="28" t="s">
        <v>264</v>
      </c>
      <c r="R88" s="28" t="s">
        <v>267</v>
      </c>
      <c r="S88" s="29"/>
      <c r="T88" s="29" t="s">
        <v>187</v>
      </c>
      <c r="U88" s="29" t="s">
        <v>1596</v>
      </c>
      <c r="V88" s="29" t="s">
        <v>1596</v>
      </c>
      <c r="W88" s="29" t="s">
        <v>1696</v>
      </c>
      <c r="X88" s="28" t="s">
        <v>1736</v>
      </c>
      <c r="Y88" s="29"/>
      <c r="Z88" s="29"/>
      <c r="AA88" s="29"/>
      <c r="AB88" s="29"/>
      <c r="AC88" s="29"/>
      <c r="AD88" s="29" t="s">
        <v>1968</v>
      </c>
      <c r="AE88" s="29"/>
    </row>
    <row r="89" spans="1:31" x14ac:dyDescent="0.25">
      <c r="A89" s="25"/>
      <c r="B89" s="26"/>
      <c r="C89" s="29"/>
      <c r="D89" s="29"/>
      <c r="E89" s="29" t="s">
        <v>225</v>
      </c>
      <c r="F89" s="29"/>
      <c r="G89" s="29" t="s">
        <v>378</v>
      </c>
      <c r="H89" s="28" t="s">
        <v>419</v>
      </c>
      <c r="J89" s="28" t="s">
        <v>419</v>
      </c>
      <c r="K89" s="28" t="s">
        <v>212</v>
      </c>
      <c r="L89" s="28" t="s">
        <v>196</v>
      </c>
      <c r="N89" s="28" t="s">
        <v>160</v>
      </c>
      <c r="R89" s="28" t="s">
        <v>269</v>
      </c>
      <c r="S89" s="29" t="s">
        <v>186</v>
      </c>
      <c r="T89" s="29"/>
      <c r="U89" s="29" t="s">
        <v>1589</v>
      </c>
      <c r="V89" s="29" t="s">
        <v>1589</v>
      </c>
      <c r="W89" s="29"/>
      <c r="X89" s="28" t="s">
        <v>1737</v>
      </c>
      <c r="Y89" s="29" t="s">
        <v>723</v>
      </c>
      <c r="Z89" s="29" t="s">
        <v>723</v>
      </c>
      <c r="AA89" s="29" t="s">
        <v>723</v>
      </c>
      <c r="AB89" s="29" t="s">
        <v>723</v>
      </c>
      <c r="AC89" s="29" t="s">
        <v>726</v>
      </c>
      <c r="AD89" s="29"/>
      <c r="AE89" s="29"/>
    </row>
    <row r="90" spans="1:31" x14ac:dyDescent="0.25">
      <c r="A90" s="25"/>
      <c r="B90" s="26"/>
      <c r="C90" s="29" t="s">
        <v>216</v>
      </c>
      <c r="D90" s="29" t="s">
        <v>378</v>
      </c>
      <c r="E90" s="29" t="s">
        <v>225</v>
      </c>
      <c r="F90" s="29" t="s">
        <v>405</v>
      </c>
      <c r="G90" s="29" t="s">
        <v>378</v>
      </c>
      <c r="H90" s="28" t="s">
        <v>160</v>
      </c>
      <c r="I90" s="28" t="s">
        <v>947</v>
      </c>
      <c r="J90" s="28" t="s">
        <v>244</v>
      </c>
      <c r="M90" s="28" t="s">
        <v>1134</v>
      </c>
      <c r="O90" s="28" t="s">
        <v>704</v>
      </c>
      <c r="P90" s="28" t="s">
        <v>829</v>
      </c>
      <c r="Q90" s="28" t="s">
        <v>255</v>
      </c>
      <c r="R90" s="28" t="s">
        <v>265</v>
      </c>
      <c r="S90" s="29" t="s">
        <v>187</v>
      </c>
      <c r="T90" s="29" t="s">
        <v>188</v>
      </c>
      <c r="U90" s="29" t="s">
        <v>1597</v>
      </c>
      <c r="V90" s="29" t="s">
        <v>1597</v>
      </c>
      <c r="W90" s="29" t="s">
        <v>916</v>
      </c>
      <c r="X90" s="28" t="s">
        <v>1738</v>
      </c>
      <c r="Y90" s="29"/>
      <c r="Z90" s="29"/>
      <c r="AA90" s="29"/>
      <c r="AB90" s="29"/>
      <c r="AC90" s="29" t="s">
        <v>727</v>
      </c>
      <c r="AD90" s="29" t="s">
        <v>1968</v>
      </c>
      <c r="AE90" s="29"/>
    </row>
    <row r="91" spans="1:31" x14ac:dyDescent="0.25">
      <c r="A91" s="25"/>
      <c r="B91" s="26"/>
      <c r="C91" s="29" t="s">
        <v>216</v>
      </c>
      <c r="D91" s="29" t="s">
        <v>378</v>
      </c>
      <c r="E91" s="29" t="s">
        <v>225</v>
      </c>
      <c r="F91" s="29" t="s">
        <v>406</v>
      </c>
      <c r="G91" s="29" t="s">
        <v>378</v>
      </c>
      <c r="K91" s="28" t="s">
        <v>212</v>
      </c>
      <c r="L91" s="28" t="s">
        <v>685</v>
      </c>
      <c r="N91" s="28" t="s">
        <v>686</v>
      </c>
      <c r="O91" s="28" t="s">
        <v>705</v>
      </c>
      <c r="R91" s="28" t="s">
        <v>254</v>
      </c>
      <c r="S91" s="29"/>
      <c r="T91" s="29" t="s">
        <v>189</v>
      </c>
      <c r="U91" s="29" t="s">
        <v>1592</v>
      </c>
      <c r="V91" s="29" t="s">
        <v>1592</v>
      </c>
      <c r="W91" s="29"/>
      <c r="X91" s="28" t="s">
        <v>1593</v>
      </c>
      <c r="Y91" s="29" t="s">
        <v>724</v>
      </c>
      <c r="Z91" s="29" t="s">
        <v>724</v>
      </c>
      <c r="AA91" s="29" t="s">
        <v>724</v>
      </c>
      <c r="AB91" s="29" t="s">
        <v>724</v>
      </c>
      <c r="AC91" s="29"/>
      <c r="AD91" s="29"/>
      <c r="AE91" s="29"/>
    </row>
    <row r="92" spans="1:31" x14ac:dyDescent="0.25">
      <c r="A92" s="25"/>
      <c r="B92" s="26"/>
      <c r="C92" s="29" t="s">
        <v>216</v>
      </c>
      <c r="D92" s="29" t="s">
        <v>378</v>
      </c>
      <c r="E92" s="29" t="s">
        <v>225</v>
      </c>
      <c r="F92" s="29" t="s">
        <v>407</v>
      </c>
      <c r="G92" s="29" t="s">
        <v>488</v>
      </c>
      <c r="H92" s="28" t="s">
        <v>243</v>
      </c>
      <c r="I92" s="28" t="s">
        <v>723</v>
      </c>
      <c r="J92" s="28" t="s">
        <v>422</v>
      </c>
      <c r="K92" s="28" t="s">
        <v>160</v>
      </c>
      <c r="M92" s="28" t="s">
        <v>1129</v>
      </c>
      <c r="N92" s="28" t="s">
        <v>687</v>
      </c>
      <c r="P92" s="28" t="s">
        <v>829</v>
      </c>
      <c r="Q92" s="28" t="s">
        <v>250</v>
      </c>
      <c r="S92" s="29" t="s">
        <v>188</v>
      </c>
      <c r="T92" s="29"/>
      <c r="U92" s="29" t="s">
        <v>1584</v>
      </c>
      <c r="V92" s="29" t="s">
        <v>1664</v>
      </c>
      <c r="W92" s="29" t="s">
        <v>502</v>
      </c>
      <c r="X92" s="28" t="s">
        <v>1739</v>
      </c>
      <c r="Y92" s="29" t="s">
        <v>725</v>
      </c>
      <c r="Z92" s="29" t="s">
        <v>725</v>
      </c>
      <c r="AA92" s="29" t="s">
        <v>725</v>
      </c>
      <c r="AB92" s="29" t="s">
        <v>725</v>
      </c>
      <c r="AC92" s="29" t="s">
        <v>692</v>
      </c>
      <c r="AD92" s="29" t="s">
        <v>223</v>
      </c>
      <c r="AE92" s="29"/>
    </row>
    <row r="93" spans="1:31" x14ac:dyDescent="0.25">
      <c r="A93" s="25"/>
      <c r="B93" s="26"/>
      <c r="C93" s="29" t="s">
        <v>216</v>
      </c>
      <c r="D93" s="29"/>
      <c r="E93" s="29" t="s">
        <v>225</v>
      </c>
      <c r="F93" s="29" t="s">
        <v>407</v>
      </c>
      <c r="G93" s="29" t="s">
        <v>611</v>
      </c>
      <c r="L93" s="28" t="s">
        <v>283</v>
      </c>
      <c r="O93" s="28" t="s">
        <v>1281</v>
      </c>
      <c r="Q93" s="28" t="s">
        <v>261</v>
      </c>
      <c r="R93" s="28" t="s">
        <v>271</v>
      </c>
      <c r="S93" s="29" t="s">
        <v>189</v>
      </c>
      <c r="T93" s="29" t="s">
        <v>1563</v>
      </c>
      <c r="U93" s="29" t="s">
        <v>1583</v>
      </c>
      <c r="V93" s="29" t="s">
        <v>1663</v>
      </c>
      <c r="W93" s="29"/>
      <c r="X93" s="28" t="s">
        <v>1594</v>
      </c>
      <c r="Y93" s="29"/>
      <c r="Z93" s="29"/>
      <c r="AA93" s="29"/>
      <c r="AB93" s="29"/>
      <c r="AC93" s="29" t="s">
        <v>693</v>
      </c>
      <c r="AD93" s="29"/>
      <c r="AE93" s="29"/>
    </row>
    <row r="94" spans="1:31" x14ac:dyDescent="0.25">
      <c r="A94" s="25"/>
      <c r="B94" s="26"/>
      <c r="C94" s="29" t="s">
        <v>216</v>
      </c>
      <c r="D94" s="29" t="s">
        <v>385</v>
      </c>
      <c r="E94" s="29" t="s">
        <v>225</v>
      </c>
      <c r="F94" s="29"/>
      <c r="G94" s="29" t="s">
        <v>612</v>
      </c>
      <c r="H94" s="28" t="s">
        <v>660</v>
      </c>
      <c r="I94" s="28" t="s">
        <v>724</v>
      </c>
      <c r="J94" s="28" t="s">
        <v>243</v>
      </c>
      <c r="K94" s="28" t="s">
        <v>285</v>
      </c>
      <c r="M94" s="28" t="s">
        <v>1131</v>
      </c>
      <c r="N94" s="28" t="s">
        <v>1176</v>
      </c>
      <c r="O94" s="28" t="s">
        <v>1283</v>
      </c>
      <c r="P94" s="28" t="s">
        <v>849</v>
      </c>
      <c r="Q94" s="28" t="s">
        <v>245</v>
      </c>
      <c r="S94" s="29"/>
      <c r="T94" s="29" t="s">
        <v>374</v>
      </c>
      <c r="U94" s="29" t="s">
        <v>1584</v>
      </c>
      <c r="V94" s="29" t="s">
        <v>1664</v>
      </c>
      <c r="W94" s="29" t="s">
        <v>419</v>
      </c>
      <c r="X94" s="28" t="s">
        <v>1740</v>
      </c>
      <c r="Y94" s="29" t="s">
        <v>734</v>
      </c>
      <c r="Z94" s="29" t="s">
        <v>734</v>
      </c>
      <c r="AA94" s="29" t="s">
        <v>734</v>
      </c>
      <c r="AB94" s="29" t="s">
        <v>734</v>
      </c>
      <c r="AC94" s="29"/>
      <c r="AD94" s="29" t="s">
        <v>1155</v>
      </c>
      <c r="AE94" s="29"/>
    </row>
    <row r="95" spans="1:31" x14ac:dyDescent="0.25">
      <c r="A95" s="25"/>
      <c r="B95" s="26"/>
      <c r="C95" s="29" t="s">
        <v>216</v>
      </c>
      <c r="D95" s="29" t="s">
        <v>386</v>
      </c>
      <c r="E95" s="29" t="s">
        <v>225</v>
      </c>
      <c r="F95" s="29" t="s">
        <v>367</v>
      </c>
      <c r="G95" s="29" t="s">
        <v>612</v>
      </c>
      <c r="I95" s="28" t="s">
        <v>725</v>
      </c>
      <c r="L95" s="28" t="s">
        <v>689</v>
      </c>
      <c r="O95" s="28" t="s">
        <v>1284</v>
      </c>
      <c r="P95" s="28" t="s">
        <v>850</v>
      </c>
      <c r="Q95" s="28" t="s">
        <v>263</v>
      </c>
      <c r="R95" s="28" t="s">
        <v>273</v>
      </c>
      <c r="S95" s="29" t="s">
        <v>1525</v>
      </c>
      <c r="T95" s="29" t="s">
        <v>375</v>
      </c>
      <c r="U95" s="29"/>
      <c r="V95" s="29"/>
      <c r="W95" s="29" t="s">
        <v>419</v>
      </c>
      <c r="Y95" s="29" t="s">
        <v>216</v>
      </c>
      <c r="Z95" s="29" t="s">
        <v>735</v>
      </c>
      <c r="AA95" s="29" t="s">
        <v>1443</v>
      </c>
      <c r="AB95" s="29" t="s">
        <v>1443</v>
      </c>
      <c r="AC95" s="29" t="s">
        <v>694</v>
      </c>
      <c r="AD95" s="29"/>
      <c r="AE95" s="29"/>
    </row>
    <row r="96" spans="1:31" x14ac:dyDescent="0.25">
      <c r="A96" s="25"/>
      <c r="B96" s="26"/>
      <c r="C96" s="29" t="s">
        <v>216</v>
      </c>
      <c r="D96" s="29" t="s">
        <v>387</v>
      </c>
      <c r="E96" s="29" t="s">
        <v>225</v>
      </c>
      <c r="F96" s="29" t="s">
        <v>368</v>
      </c>
      <c r="G96" s="29"/>
      <c r="H96" s="28" t="s">
        <v>661</v>
      </c>
      <c r="J96" s="28" t="s">
        <v>417</v>
      </c>
      <c r="K96" s="28" t="s">
        <v>1053</v>
      </c>
      <c r="M96" s="28" t="s">
        <v>243</v>
      </c>
      <c r="N96" s="28" t="s">
        <v>711</v>
      </c>
      <c r="O96" s="28" t="s">
        <v>1285</v>
      </c>
      <c r="P96" s="28" t="s">
        <v>1335</v>
      </c>
      <c r="Q96" s="28" t="s">
        <v>254</v>
      </c>
      <c r="R96" s="28" t="s">
        <v>274</v>
      </c>
      <c r="S96" s="29" t="s">
        <v>374</v>
      </c>
      <c r="T96" s="29" t="s">
        <v>376</v>
      </c>
      <c r="U96" s="29" t="s">
        <v>160</v>
      </c>
      <c r="V96" s="29" t="s">
        <v>160</v>
      </c>
      <c r="W96" s="29" t="s">
        <v>212</v>
      </c>
      <c r="X96" s="28" t="s">
        <v>204</v>
      </c>
      <c r="Y96" s="29"/>
      <c r="Z96" s="29"/>
      <c r="AA96" s="29"/>
      <c r="AB96" s="29"/>
      <c r="AC96" s="29" t="s">
        <v>695</v>
      </c>
      <c r="AD96" s="29" t="s">
        <v>1969</v>
      </c>
      <c r="AE96" s="29"/>
    </row>
    <row r="97" spans="1:31" x14ac:dyDescent="0.25">
      <c r="A97" s="25"/>
      <c r="B97" s="26"/>
      <c r="C97" s="29" t="s">
        <v>216</v>
      </c>
      <c r="D97" s="29" t="s">
        <v>387</v>
      </c>
      <c r="E97" s="29" t="s">
        <v>225</v>
      </c>
      <c r="F97" s="29"/>
      <c r="G97" s="29" t="s">
        <v>221</v>
      </c>
      <c r="H97" s="28" t="s">
        <v>212</v>
      </c>
      <c r="I97" s="28" t="s">
        <v>726</v>
      </c>
      <c r="L97" s="28" t="s">
        <v>690</v>
      </c>
      <c r="N97" s="28" t="s">
        <v>1177</v>
      </c>
      <c r="O97" s="28" t="s">
        <v>1282</v>
      </c>
      <c r="Q97" s="28" t="s">
        <v>253</v>
      </c>
      <c r="R97" s="28" t="s">
        <v>266</v>
      </c>
      <c r="S97" s="29" t="s">
        <v>375</v>
      </c>
      <c r="T97" s="29"/>
      <c r="U97" s="29"/>
      <c r="V97" s="29"/>
      <c r="W97" s="29"/>
      <c r="X97" s="28" t="s">
        <v>1741</v>
      </c>
      <c r="Y97" s="29" t="s">
        <v>1877</v>
      </c>
      <c r="Z97" s="29" t="s">
        <v>1154</v>
      </c>
      <c r="AA97" s="29" t="s">
        <v>1154</v>
      </c>
      <c r="AB97" s="29" t="s">
        <v>1154</v>
      </c>
      <c r="AC97" s="29"/>
      <c r="AD97" s="29"/>
      <c r="AE97" s="29"/>
    </row>
    <row r="98" spans="1:31" x14ac:dyDescent="0.25">
      <c r="A98" s="25"/>
      <c r="B98" s="26"/>
      <c r="C98" s="29" t="s">
        <v>216</v>
      </c>
      <c r="D98" s="29"/>
      <c r="E98" s="29" t="s">
        <v>225</v>
      </c>
      <c r="F98" s="29" t="s">
        <v>186</v>
      </c>
      <c r="G98" s="29" t="s">
        <v>613</v>
      </c>
      <c r="I98" s="28" t="s">
        <v>727</v>
      </c>
      <c r="J98" s="28" t="s">
        <v>989</v>
      </c>
      <c r="K98" s="28" t="s">
        <v>285</v>
      </c>
      <c r="L98" s="28" t="s">
        <v>691</v>
      </c>
      <c r="M98" s="28" t="s">
        <v>424</v>
      </c>
      <c r="N98" s="28" t="s">
        <v>1178</v>
      </c>
      <c r="P98" s="28" t="s">
        <v>834</v>
      </c>
      <c r="R98" s="28" t="s">
        <v>275</v>
      </c>
      <c r="S98" s="29" t="s">
        <v>376</v>
      </c>
      <c r="T98" s="29" t="s">
        <v>1564</v>
      </c>
      <c r="U98" s="29" t="s">
        <v>1598</v>
      </c>
      <c r="V98" s="29" t="s">
        <v>1659</v>
      </c>
      <c r="W98" s="29" t="s">
        <v>422</v>
      </c>
      <c r="X98" s="28" t="s">
        <v>1597</v>
      </c>
      <c r="Y98" s="29" t="s">
        <v>1157</v>
      </c>
      <c r="Z98" s="29"/>
      <c r="AA98" s="29"/>
      <c r="AB98" s="29"/>
      <c r="AC98" s="29" t="s">
        <v>692</v>
      </c>
      <c r="AD98" s="29" t="s">
        <v>734</v>
      </c>
      <c r="AE98" s="29"/>
    </row>
    <row r="99" spans="1:31" x14ac:dyDescent="0.25">
      <c r="A99" s="25"/>
      <c r="B99" s="26"/>
      <c r="C99" s="29" t="s">
        <v>216</v>
      </c>
      <c r="D99" s="29" t="s">
        <v>221</v>
      </c>
      <c r="E99" s="29"/>
      <c r="F99" s="29" t="s">
        <v>187</v>
      </c>
      <c r="G99" s="29" t="s">
        <v>223</v>
      </c>
      <c r="H99" s="28" t="s">
        <v>243</v>
      </c>
      <c r="J99" s="28" t="s">
        <v>982</v>
      </c>
      <c r="N99" s="28" t="s">
        <v>1178</v>
      </c>
      <c r="O99" s="28" t="s">
        <v>706</v>
      </c>
      <c r="P99" s="28" t="s">
        <v>835</v>
      </c>
      <c r="Q99" s="28" t="s">
        <v>254</v>
      </c>
      <c r="S99" s="29"/>
      <c r="T99" s="29"/>
      <c r="U99" s="29"/>
      <c r="V99" s="29"/>
      <c r="W99" s="29"/>
      <c r="X99" s="28" t="s">
        <v>1592</v>
      </c>
      <c r="Y99" s="29"/>
      <c r="Z99" s="29" t="s">
        <v>223</v>
      </c>
      <c r="AA99" s="29" t="s">
        <v>223</v>
      </c>
      <c r="AB99" s="29" t="s">
        <v>223</v>
      </c>
      <c r="AC99" s="29" t="s">
        <v>696</v>
      </c>
      <c r="AD99" s="29" t="s">
        <v>1970</v>
      </c>
      <c r="AE99" s="29"/>
    </row>
    <row r="100" spans="1:31" x14ac:dyDescent="0.25">
      <c r="A100" s="25"/>
      <c r="B100" s="26"/>
      <c r="C100" s="29" t="s">
        <v>216</v>
      </c>
      <c r="D100" s="29" t="s">
        <v>388</v>
      </c>
      <c r="E100" s="29" t="s">
        <v>195</v>
      </c>
      <c r="F100" s="29"/>
      <c r="G100" s="29" t="s">
        <v>223</v>
      </c>
      <c r="I100" s="28" t="s">
        <v>703</v>
      </c>
      <c r="K100" s="28" t="s">
        <v>1057</v>
      </c>
      <c r="L100" s="28" t="s">
        <v>723</v>
      </c>
      <c r="M100" s="28" t="s">
        <v>441</v>
      </c>
      <c r="N100" s="28" t="s">
        <v>711</v>
      </c>
      <c r="O100" s="28" t="s">
        <v>707</v>
      </c>
      <c r="Q100" s="28" t="s">
        <v>255</v>
      </c>
      <c r="R100" s="28" t="s">
        <v>1469</v>
      </c>
      <c r="S100" s="29" t="s">
        <v>1529</v>
      </c>
      <c r="T100" s="29" t="s">
        <v>1530</v>
      </c>
      <c r="U100" s="29" t="s">
        <v>212</v>
      </c>
      <c r="V100" s="29" t="s">
        <v>419</v>
      </c>
      <c r="W100" s="29" t="s">
        <v>244</v>
      </c>
      <c r="X100" s="28" t="s">
        <v>1742</v>
      </c>
      <c r="Y100" s="29" t="s">
        <v>1878</v>
      </c>
      <c r="Z100" s="29"/>
      <c r="AA100" s="29"/>
      <c r="AB100" s="29"/>
      <c r="AC100" s="29"/>
      <c r="AD100" s="29" t="s">
        <v>1157</v>
      </c>
      <c r="AE100" s="29"/>
    </row>
    <row r="101" spans="1:31" x14ac:dyDescent="0.25">
      <c r="C101" s="28" t="s">
        <v>216</v>
      </c>
      <c r="D101" s="28" t="s">
        <v>223</v>
      </c>
      <c r="F101" s="28" t="s">
        <v>188</v>
      </c>
      <c r="G101" s="28" t="s">
        <v>613</v>
      </c>
      <c r="H101" s="28" t="s">
        <v>662</v>
      </c>
      <c r="I101" s="28" t="s">
        <v>728</v>
      </c>
      <c r="J101" s="28" t="s">
        <v>990</v>
      </c>
      <c r="N101" s="28" t="s">
        <v>1075</v>
      </c>
      <c r="O101" s="28" t="s">
        <v>708</v>
      </c>
      <c r="P101" s="28" t="s">
        <v>1336</v>
      </c>
      <c r="Q101" s="28" t="s">
        <v>248</v>
      </c>
      <c r="U101" s="28" t="s">
        <v>1599</v>
      </c>
      <c r="V101" s="28" t="s">
        <v>243</v>
      </c>
      <c r="W101" s="28" t="s">
        <v>160</v>
      </c>
      <c r="X101" s="28" t="s">
        <v>1743</v>
      </c>
      <c r="Z101" s="28" t="s">
        <v>1155</v>
      </c>
      <c r="AA101" s="28" t="s">
        <v>1155</v>
      </c>
      <c r="AB101" s="28" t="s">
        <v>1155</v>
      </c>
      <c r="AC101" s="28" t="s">
        <v>694</v>
      </c>
    </row>
    <row r="102" spans="1:31" x14ac:dyDescent="0.25">
      <c r="D102" s="28" t="s">
        <v>223</v>
      </c>
      <c r="E102" s="28" t="s">
        <v>371</v>
      </c>
      <c r="F102" s="28" t="s">
        <v>189</v>
      </c>
      <c r="G102" s="28" t="s">
        <v>378</v>
      </c>
      <c r="I102" s="28" t="s">
        <v>729</v>
      </c>
      <c r="K102" s="28" t="s">
        <v>1058</v>
      </c>
      <c r="L102" s="28" t="s">
        <v>724</v>
      </c>
      <c r="M102" s="28" t="s">
        <v>1135</v>
      </c>
      <c r="O102" s="28" t="s">
        <v>709</v>
      </c>
      <c r="Q102" s="28" t="s">
        <v>246</v>
      </c>
      <c r="R102" s="28" t="s">
        <v>954</v>
      </c>
      <c r="S102" s="28" t="s">
        <v>1530</v>
      </c>
      <c r="T102" s="28" t="s">
        <v>378</v>
      </c>
      <c r="U102" s="28" t="s">
        <v>212</v>
      </c>
      <c r="V102" s="28" t="s">
        <v>160</v>
      </c>
      <c r="X102" s="28" t="s">
        <v>1744</v>
      </c>
      <c r="Y102" s="28" t="s">
        <v>1878</v>
      </c>
      <c r="AC102" s="28" t="s">
        <v>697</v>
      </c>
      <c r="AD102" s="28" t="s">
        <v>1969</v>
      </c>
    </row>
    <row r="103" spans="1:31" x14ac:dyDescent="0.25">
      <c r="C103" s="28" t="s">
        <v>217</v>
      </c>
      <c r="D103" s="28" t="s">
        <v>388</v>
      </c>
      <c r="E103" s="28" t="s">
        <v>484</v>
      </c>
      <c r="G103" s="28" t="s">
        <v>378</v>
      </c>
      <c r="H103" s="28" t="s">
        <v>243</v>
      </c>
      <c r="I103" s="28" t="s">
        <v>730</v>
      </c>
      <c r="J103" s="28" t="s">
        <v>243</v>
      </c>
      <c r="L103" s="28" t="s">
        <v>725</v>
      </c>
      <c r="N103" s="28" t="s">
        <v>1179</v>
      </c>
      <c r="P103" s="28" t="s">
        <v>838</v>
      </c>
      <c r="Q103" s="28" t="s">
        <v>256</v>
      </c>
      <c r="T103" s="28" t="s">
        <v>378</v>
      </c>
      <c r="U103" s="28" t="s">
        <v>1600</v>
      </c>
      <c r="W103" s="28" t="s">
        <v>244</v>
      </c>
      <c r="X103" s="28" t="s">
        <v>1745</v>
      </c>
      <c r="Z103" s="28" t="s">
        <v>1904</v>
      </c>
      <c r="AA103" s="28" t="s">
        <v>1943</v>
      </c>
      <c r="AB103" s="28" t="s">
        <v>1943</v>
      </c>
    </row>
    <row r="104" spans="1:31" x14ac:dyDescent="0.25">
      <c r="C104" s="28" t="s">
        <v>218</v>
      </c>
      <c r="D104" s="28" t="s">
        <v>378</v>
      </c>
      <c r="E104" s="28" t="s">
        <v>484</v>
      </c>
      <c r="F104" s="28" t="s">
        <v>581</v>
      </c>
      <c r="G104" s="28" t="s">
        <v>613</v>
      </c>
      <c r="I104" s="28" t="s">
        <v>225</v>
      </c>
      <c r="K104" s="28" t="s">
        <v>655</v>
      </c>
      <c r="M104" s="28" t="s">
        <v>1136</v>
      </c>
      <c r="N104" s="28" t="s">
        <v>722</v>
      </c>
      <c r="O104" s="28" t="s">
        <v>160</v>
      </c>
      <c r="R104" s="28" t="s">
        <v>160</v>
      </c>
      <c r="S104" s="28" t="s">
        <v>378</v>
      </c>
      <c r="T104" s="28" t="s">
        <v>1531</v>
      </c>
      <c r="U104" s="28" t="s">
        <v>1601</v>
      </c>
      <c r="V104" s="28" t="s">
        <v>390</v>
      </c>
      <c r="W104" s="28" t="s">
        <v>160</v>
      </c>
      <c r="X104" s="28" t="s">
        <v>1746</v>
      </c>
      <c r="Y104" s="28" t="s">
        <v>726</v>
      </c>
      <c r="AC104" s="28" t="s">
        <v>692</v>
      </c>
      <c r="AD104" s="28" t="s">
        <v>703</v>
      </c>
    </row>
    <row r="105" spans="1:31" x14ac:dyDescent="0.25">
      <c r="C105" s="28" t="s">
        <v>218</v>
      </c>
      <c r="D105" s="28" t="s">
        <v>378</v>
      </c>
      <c r="E105" s="28" t="s">
        <v>484</v>
      </c>
      <c r="F105" s="28" t="s">
        <v>582</v>
      </c>
      <c r="G105" s="28" t="s">
        <v>613</v>
      </c>
      <c r="H105" s="28" t="s">
        <v>663</v>
      </c>
      <c r="I105" s="28" t="s">
        <v>948</v>
      </c>
      <c r="J105" s="28" t="s">
        <v>991</v>
      </c>
      <c r="L105" s="28" t="s">
        <v>726</v>
      </c>
      <c r="N105" s="28" t="s">
        <v>1180</v>
      </c>
      <c r="O105" s="28" t="s">
        <v>160</v>
      </c>
      <c r="P105" s="28" t="s">
        <v>837</v>
      </c>
      <c r="Q105" s="28" t="s">
        <v>265</v>
      </c>
      <c r="S105" s="28" t="s">
        <v>378</v>
      </c>
      <c r="X105" s="28" t="s">
        <v>1747</v>
      </c>
      <c r="Y105" s="28" t="s">
        <v>727</v>
      </c>
      <c r="Z105" s="28" t="s">
        <v>1877</v>
      </c>
      <c r="AA105" s="28" t="s">
        <v>1877</v>
      </c>
      <c r="AB105" s="28" t="s">
        <v>1877</v>
      </c>
      <c r="AC105" s="28" t="s">
        <v>698</v>
      </c>
      <c r="AD105" s="28" t="s">
        <v>728</v>
      </c>
    </row>
    <row r="106" spans="1:31" x14ac:dyDescent="0.25">
      <c r="C106" s="28" t="s">
        <v>218</v>
      </c>
      <c r="D106" s="28" t="s">
        <v>388</v>
      </c>
      <c r="E106" s="28" t="s">
        <v>216</v>
      </c>
      <c r="F106" s="28" t="s">
        <v>374</v>
      </c>
      <c r="K106" s="28" t="s">
        <v>243</v>
      </c>
      <c r="L106" s="28" t="s">
        <v>727</v>
      </c>
      <c r="M106" s="28" t="s">
        <v>424</v>
      </c>
      <c r="N106" s="28" t="s">
        <v>1181</v>
      </c>
      <c r="O106" s="28" t="s">
        <v>160</v>
      </c>
      <c r="Q106" s="28" t="s">
        <v>266</v>
      </c>
      <c r="R106" s="28" t="s">
        <v>1470</v>
      </c>
      <c r="S106" s="28" t="s">
        <v>1531</v>
      </c>
      <c r="T106" s="28" t="s">
        <v>1532</v>
      </c>
      <c r="U106" s="28" t="s">
        <v>918</v>
      </c>
      <c r="V106" s="28" t="s">
        <v>1662</v>
      </c>
      <c r="W106" s="28" t="s">
        <v>422</v>
      </c>
      <c r="X106" s="28" t="s">
        <v>1748</v>
      </c>
      <c r="Z106" s="28" t="s">
        <v>1157</v>
      </c>
      <c r="AA106" s="28" t="s">
        <v>1157</v>
      </c>
      <c r="AB106" s="28" t="s">
        <v>1157</v>
      </c>
      <c r="AC106" s="28" t="s">
        <v>699</v>
      </c>
      <c r="AD106" s="28" t="s">
        <v>729</v>
      </c>
    </row>
    <row r="107" spans="1:31" x14ac:dyDescent="0.25">
      <c r="C107" s="28" t="s">
        <v>218</v>
      </c>
      <c r="D107" s="28" t="s">
        <v>388</v>
      </c>
      <c r="E107" s="28" t="s">
        <v>216</v>
      </c>
      <c r="F107" s="28" t="s">
        <v>375</v>
      </c>
      <c r="G107" s="28" t="s">
        <v>391</v>
      </c>
      <c r="H107" s="28" t="s">
        <v>664</v>
      </c>
      <c r="I107" s="28" t="s">
        <v>734</v>
      </c>
      <c r="J107" s="28" t="s">
        <v>992</v>
      </c>
      <c r="M107" s="28" t="s">
        <v>212</v>
      </c>
      <c r="N107" s="28" t="s">
        <v>1181</v>
      </c>
      <c r="O107" s="28" t="s">
        <v>160</v>
      </c>
      <c r="P107" s="28" t="s">
        <v>861</v>
      </c>
      <c r="Q107" s="28" t="s">
        <v>267</v>
      </c>
      <c r="U107" s="28" t="s">
        <v>390</v>
      </c>
      <c r="X107" s="28" t="s">
        <v>160</v>
      </c>
      <c r="Y107" s="28" t="s">
        <v>692</v>
      </c>
      <c r="AC107" s="28" t="s">
        <v>700</v>
      </c>
      <c r="AD107" s="28" t="s">
        <v>730</v>
      </c>
    </row>
    <row r="108" spans="1:31" x14ac:dyDescent="0.25">
      <c r="C108" s="28" t="s">
        <v>219</v>
      </c>
      <c r="E108" s="28" t="s">
        <v>216</v>
      </c>
      <c r="F108" s="28" t="s">
        <v>376</v>
      </c>
      <c r="I108" s="28" t="s">
        <v>735</v>
      </c>
      <c r="K108" s="28" t="s">
        <v>243</v>
      </c>
      <c r="L108" s="28" t="s">
        <v>703</v>
      </c>
      <c r="N108" s="28" t="s">
        <v>1182</v>
      </c>
      <c r="O108" s="28" t="s">
        <v>160</v>
      </c>
      <c r="P108" s="28" t="s">
        <v>1337</v>
      </c>
      <c r="Q108" s="28" t="s">
        <v>268</v>
      </c>
      <c r="R108" s="28" t="s">
        <v>1470</v>
      </c>
      <c r="S108" s="28" t="s">
        <v>1532</v>
      </c>
      <c r="T108" s="28" t="s">
        <v>381</v>
      </c>
      <c r="V108" s="28" t="s">
        <v>245</v>
      </c>
      <c r="W108" s="28" t="s">
        <v>452</v>
      </c>
      <c r="Y108" s="28" t="s">
        <v>693</v>
      </c>
      <c r="Z108" s="28" t="s">
        <v>1904</v>
      </c>
      <c r="AA108" s="28" t="s">
        <v>1943</v>
      </c>
      <c r="AB108" s="28" t="s">
        <v>1943</v>
      </c>
      <c r="AD108" s="28" t="s">
        <v>225</v>
      </c>
    </row>
    <row r="109" spans="1:31" x14ac:dyDescent="0.25">
      <c r="C109" s="28" t="s">
        <v>219</v>
      </c>
      <c r="D109" s="28" t="s">
        <v>389</v>
      </c>
      <c r="E109" s="28" t="s">
        <v>216</v>
      </c>
      <c r="G109" s="28" t="s">
        <v>392</v>
      </c>
      <c r="H109" s="28" t="s">
        <v>661</v>
      </c>
      <c r="J109" s="28" t="s">
        <v>285</v>
      </c>
      <c r="L109" s="28" t="s">
        <v>728</v>
      </c>
      <c r="M109" s="28" t="s">
        <v>212</v>
      </c>
      <c r="N109" s="28" t="s">
        <v>722</v>
      </c>
      <c r="T109" s="28" t="s">
        <v>382</v>
      </c>
      <c r="U109" s="28" t="s">
        <v>1574</v>
      </c>
      <c r="V109" s="28" t="s">
        <v>246</v>
      </c>
      <c r="X109" s="28" t="s">
        <v>1745</v>
      </c>
      <c r="AC109" s="28" t="s">
        <v>701</v>
      </c>
    </row>
    <row r="110" spans="1:31" x14ac:dyDescent="0.25">
      <c r="C110" s="28" t="s">
        <v>219</v>
      </c>
      <c r="E110" s="28" t="s">
        <v>216</v>
      </c>
      <c r="F110" s="28" t="s">
        <v>583</v>
      </c>
      <c r="G110" s="28" t="s">
        <v>393</v>
      </c>
      <c r="H110" s="28" t="s">
        <v>212</v>
      </c>
      <c r="I110" s="28" t="s">
        <v>738</v>
      </c>
      <c r="K110" s="28" t="s">
        <v>285</v>
      </c>
      <c r="L110" s="28" t="s">
        <v>729</v>
      </c>
      <c r="M110" s="28" t="s">
        <v>160</v>
      </c>
      <c r="O110" s="28" t="s">
        <v>686</v>
      </c>
      <c r="P110" s="28" t="s">
        <v>1338</v>
      </c>
      <c r="Q110" s="28" t="s">
        <v>269</v>
      </c>
      <c r="R110" s="28" t="s">
        <v>442</v>
      </c>
      <c r="S110" s="28" t="s">
        <v>381</v>
      </c>
      <c r="T110" s="28" t="s">
        <v>383</v>
      </c>
      <c r="V110" s="28" t="s">
        <v>247</v>
      </c>
      <c r="W110" s="28" t="s">
        <v>1259</v>
      </c>
      <c r="X110" s="28" t="s">
        <v>1746</v>
      </c>
      <c r="Y110" s="28" t="s">
        <v>694</v>
      </c>
      <c r="Z110" s="28" t="s">
        <v>726</v>
      </c>
      <c r="AA110" s="28" t="s">
        <v>726</v>
      </c>
      <c r="AB110" s="28" t="s">
        <v>726</v>
      </c>
      <c r="AD110" s="28" t="s">
        <v>723</v>
      </c>
    </row>
    <row r="111" spans="1:31" x14ac:dyDescent="0.25">
      <c r="C111" s="28" t="s">
        <v>219</v>
      </c>
      <c r="D111" s="28" t="s">
        <v>390</v>
      </c>
      <c r="E111" s="28" t="s">
        <v>216</v>
      </c>
      <c r="F111" s="28" t="s">
        <v>583</v>
      </c>
      <c r="G111" s="28" t="s">
        <v>160</v>
      </c>
      <c r="J111" s="28" t="s">
        <v>424</v>
      </c>
      <c r="L111" s="28" t="s">
        <v>730</v>
      </c>
      <c r="N111" s="28" t="s">
        <v>1183</v>
      </c>
      <c r="O111" s="28" t="s">
        <v>687</v>
      </c>
      <c r="P111" s="28" t="s">
        <v>501</v>
      </c>
      <c r="Q111" s="28" t="s">
        <v>270</v>
      </c>
      <c r="R111" s="28" t="s">
        <v>212</v>
      </c>
      <c r="S111" s="28" t="s">
        <v>382</v>
      </c>
      <c r="T111" s="28" t="s">
        <v>384</v>
      </c>
      <c r="U111" s="28" t="s">
        <v>1598</v>
      </c>
      <c r="V111" s="28" t="s">
        <v>248</v>
      </c>
      <c r="X111" s="28" t="s">
        <v>1747</v>
      </c>
      <c r="Y111" s="28" t="s">
        <v>695</v>
      </c>
      <c r="Z111" s="28" t="s">
        <v>727</v>
      </c>
      <c r="AA111" s="28" t="s">
        <v>727</v>
      </c>
      <c r="AB111" s="28" t="s">
        <v>727</v>
      </c>
      <c r="AC111" s="28" t="s">
        <v>702</v>
      </c>
    </row>
    <row r="112" spans="1:31" x14ac:dyDescent="0.25">
      <c r="C112" s="28" t="s">
        <v>219</v>
      </c>
      <c r="E112" s="28" t="s">
        <v>216</v>
      </c>
      <c r="G112" s="28" t="s">
        <v>211</v>
      </c>
      <c r="H112" s="28" t="s">
        <v>243</v>
      </c>
      <c r="I112" s="28" t="s">
        <v>692</v>
      </c>
      <c r="J112" s="28" t="s">
        <v>420</v>
      </c>
      <c r="K112" s="28" t="s">
        <v>285</v>
      </c>
      <c r="L112" s="28" t="s">
        <v>225</v>
      </c>
      <c r="M112" s="28" t="s">
        <v>1137</v>
      </c>
      <c r="N112" s="28" t="s">
        <v>715</v>
      </c>
      <c r="Q112" s="28" t="s">
        <v>268</v>
      </c>
      <c r="S112" s="28" t="s">
        <v>383</v>
      </c>
      <c r="V112" s="28" t="s">
        <v>245</v>
      </c>
      <c r="W112" s="28" t="s">
        <v>1462</v>
      </c>
      <c r="X112" s="28" t="s">
        <v>1748</v>
      </c>
      <c r="AD112" s="28" t="s">
        <v>724</v>
      </c>
    </row>
    <row r="113" spans="3:30" x14ac:dyDescent="0.25">
      <c r="C113" s="28" t="s">
        <v>219</v>
      </c>
      <c r="D113" s="28" t="s">
        <v>373</v>
      </c>
      <c r="E113" s="28" t="s">
        <v>216</v>
      </c>
      <c r="F113" s="28" t="s">
        <v>584</v>
      </c>
      <c r="I113" s="28" t="s">
        <v>693</v>
      </c>
      <c r="L113" s="28" t="s">
        <v>1123</v>
      </c>
      <c r="N113" s="28" t="s">
        <v>716</v>
      </c>
      <c r="O113" s="28" t="s">
        <v>1286</v>
      </c>
      <c r="P113" s="28" t="s">
        <v>845</v>
      </c>
      <c r="Q113" s="28" t="s">
        <v>267</v>
      </c>
      <c r="R113" s="28" t="s">
        <v>1462</v>
      </c>
      <c r="S113" s="28" t="s">
        <v>384</v>
      </c>
      <c r="T113" s="28" t="s">
        <v>211</v>
      </c>
      <c r="U113" s="28" t="s">
        <v>212</v>
      </c>
      <c r="V113" s="28" t="s">
        <v>249</v>
      </c>
      <c r="Y113" s="28" t="s">
        <v>692</v>
      </c>
      <c r="Z113" s="28" t="s">
        <v>692</v>
      </c>
      <c r="AA113" s="28" t="s">
        <v>692</v>
      </c>
      <c r="AB113" s="28" t="s">
        <v>692</v>
      </c>
      <c r="AC113" s="28" t="s">
        <v>703</v>
      </c>
      <c r="AD113" s="28" t="s">
        <v>725</v>
      </c>
    </row>
    <row r="114" spans="3:30" x14ac:dyDescent="0.25">
      <c r="C114" s="28" t="s">
        <v>219</v>
      </c>
      <c r="E114" s="28" t="s">
        <v>216</v>
      </c>
      <c r="F114" s="28" t="s">
        <v>584</v>
      </c>
      <c r="G114" s="28" t="s">
        <v>394</v>
      </c>
      <c r="H114" s="28" t="s">
        <v>665</v>
      </c>
      <c r="J114" s="28" t="s">
        <v>285</v>
      </c>
      <c r="K114" s="28" t="s">
        <v>244</v>
      </c>
      <c r="M114" s="28" t="s">
        <v>424</v>
      </c>
      <c r="N114" s="28" t="s">
        <v>869</v>
      </c>
      <c r="P114" s="28" t="s">
        <v>846</v>
      </c>
      <c r="Q114" s="28" t="s">
        <v>269</v>
      </c>
      <c r="U114" s="28" t="s">
        <v>1599</v>
      </c>
      <c r="V114" s="28" t="s">
        <v>247</v>
      </c>
      <c r="W114" s="28" t="s">
        <v>1697</v>
      </c>
      <c r="X114" s="28" t="s">
        <v>368</v>
      </c>
      <c r="Y114" s="28" t="s">
        <v>696</v>
      </c>
      <c r="Z114" s="28" t="s">
        <v>693</v>
      </c>
      <c r="AA114" s="28" t="s">
        <v>693</v>
      </c>
      <c r="AB114" s="28" t="s">
        <v>693</v>
      </c>
      <c r="AC114" s="28" t="s">
        <v>728</v>
      </c>
    </row>
    <row r="115" spans="3:30" x14ac:dyDescent="0.25">
      <c r="C115" s="28" t="s">
        <v>219</v>
      </c>
      <c r="D115" s="28" t="s">
        <v>391</v>
      </c>
      <c r="E115" s="28" t="s">
        <v>216</v>
      </c>
      <c r="G115" s="28" t="s">
        <v>368</v>
      </c>
      <c r="I115" s="28" t="s">
        <v>694</v>
      </c>
      <c r="L115" s="28" t="s">
        <v>734</v>
      </c>
      <c r="N115" s="28" t="s">
        <v>869</v>
      </c>
      <c r="O115" s="28" t="s">
        <v>711</v>
      </c>
      <c r="Q115" s="28" t="s">
        <v>265</v>
      </c>
      <c r="R115" s="28" t="s">
        <v>1471</v>
      </c>
      <c r="S115" s="28" t="s">
        <v>211</v>
      </c>
      <c r="T115" s="28" t="s">
        <v>160</v>
      </c>
      <c r="U115" s="28" t="s">
        <v>212</v>
      </c>
      <c r="V115" s="28" t="s">
        <v>250</v>
      </c>
      <c r="X115" s="28" t="s">
        <v>703</v>
      </c>
      <c r="AC115" s="28" t="s">
        <v>729</v>
      </c>
      <c r="AD115" s="28" t="s">
        <v>726</v>
      </c>
    </row>
    <row r="116" spans="3:30" x14ac:dyDescent="0.25">
      <c r="C116" s="28" t="s">
        <v>220</v>
      </c>
      <c r="E116" s="28" t="s">
        <v>216</v>
      </c>
      <c r="F116" s="28" t="s">
        <v>378</v>
      </c>
      <c r="G116" s="28" t="s">
        <v>608</v>
      </c>
      <c r="H116" s="28" t="s">
        <v>417</v>
      </c>
      <c r="I116" s="28" t="s">
        <v>695</v>
      </c>
      <c r="J116" s="28" t="s">
        <v>419</v>
      </c>
      <c r="K116" s="28" t="s">
        <v>244</v>
      </c>
      <c r="L116" s="28" t="s">
        <v>1083</v>
      </c>
      <c r="M116" s="28" t="s">
        <v>285</v>
      </c>
      <c r="N116" s="28" t="s">
        <v>1184</v>
      </c>
      <c r="O116" s="28" t="s">
        <v>712</v>
      </c>
      <c r="P116" s="28" t="s">
        <v>502</v>
      </c>
      <c r="Q116" s="28" t="s">
        <v>254</v>
      </c>
      <c r="U116" s="28" t="s">
        <v>1600</v>
      </c>
      <c r="V116" s="28" t="s">
        <v>251</v>
      </c>
      <c r="W116" s="28" t="s">
        <v>1462</v>
      </c>
      <c r="Y116" s="28" t="s">
        <v>694</v>
      </c>
      <c r="Z116" s="28" t="s">
        <v>694</v>
      </c>
      <c r="AA116" s="28" t="s">
        <v>694</v>
      </c>
      <c r="AB116" s="28" t="s">
        <v>694</v>
      </c>
      <c r="AC116" s="28" t="s">
        <v>730</v>
      </c>
      <c r="AD116" s="28" t="s">
        <v>727</v>
      </c>
    </row>
    <row r="117" spans="3:30" x14ac:dyDescent="0.25">
      <c r="D117" s="28" t="s">
        <v>392</v>
      </c>
      <c r="E117" s="28" t="s">
        <v>216</v>
      </c>
      <c r="F117" s="28" t="s">
        <v>378</v>
      </c>
      <c r="G117" s="28" t="s">
        <v>160</v>
      </c>
      <c r="J117" s="28" t="s">
        <v>160</v>
      </c>
      <c r="N117" s="28" t="s">
        <v>716</v>
      </c>
      <c r="O117" s="28" t="s">
        <v>711</v>
      </c>
      <c r="R117" s="28" t="s">
        <v>212</v>
      </c>
      <c r="S117" s="28" t="s">
        <v>160</v>
      </c>
      <c r="T117" s="28" t="s">
        <v>201</v>
      </c>
      <c r="U117" s="28" t="s">
        <v>1601</v>
      </c>
      <c r="V117" s="28" t="s">
        <v>245</v>
      </c>
      <c r="X117" s="28" t="s">
        <v>1722</v>
      </c>
      <c r="Y117" s="28" t="s">
        <v>697</v>
      </c>
      <c r="Z117" s="28" t="s">
        <v>695</v>
      </c>
      <c r="AA117" s="28" t="s">
        <v>695</v>
      </c>
      <c r="AB117" s="28" t="s">
        <v>695</v>
      </c>
      <c r="AC117" s="28" t="s">
        <v>225</v>
      </c>
    </row>
    <row r="118" spans="3:30" x14ac:dyDescent="0.25">
      <c r="C118" s="28" t="s">
        <v>221</v>
      </c>
      <c r="D118" s="28" t="s">
        <v>393</v>
      </c>
      <c r="F118" s="28" t="s">
        <v>160</v>
      </c>
      <c r="H118" s="28" t="s">
        <v>666</v>
      </c>
      <c r="I118" s="28" t="s">
        <v>692</v>
      </c>
      <c r="K118" s="28" t="s">
        <v>1056</v>
      </c>
      <c r="L118" s="28" t="s">
        <v>738</v>
      </c>
      <c r="M118" s="28" t="s">
        <v>417</v>
      </c>
      <c r="O118" s="28" t="s">
        <v>713</v>
      </c>
      <c r="P118" s="28" t="s">
        <v>1339</v>
      </c>
      <c r="Q118" s="28" t="s">
        <v>271</v>
      </c>
      <c r="V118" s="28" t="s">
        <v>252</v>
      </c>
      <c r="W118" s="28" t="s">
        <v>1259</v>
      </c>
      <c r="X118" s="28" t="s">
        <v>1722</v>
      </c>
      <c r="AD118" s="28" t="s">
        <v>692</v>
      </c>
    </row>
    <row r="119" spans="3:30" x14ac:dyDescent="0.25">
      <c r="C119" s="28" t="s">
        <v>222</v>
      </c>
      <c r="D119" s="28" t="s">
        <v>160</v>
      </c>
      <c r="E119" s="28" t="s">
        <v>207</v>
      </c>
      <c r="G119" s="28" t="s">
        <v>384</v>
      </c>
      <c r="I119" s="28" t="s">
        <v>696</v>
      </c>
      <c r="J119" s="28" t="s">
        <v>285</v>
      </c>
      <c r="N119" s="28" t="s">
        <v>1183</v>
      </c>
      <c r="P119" s="28" t="s">
        <v>1340</v>
      </c>
      <c r="R119" s="28" t="s">
        <v>212</v>
      </c>
      <c r="S119" s="28" t="s">
        <v>217</v>
      </c>
      <c r="T119" s="28" t="s">
        <v>217</v>
      </c>
      <c r="U119" s="28" t="s">
        <v>419</v>
      </c>
      <c r="Y119" s="28" t="s">
        <v>692</v>
      </c>
      <c r="Z119" s="28" t="s">
        <v>692</v>
      </c>
      <c r="AA119" s="28" t="s">
        <v>692</v>
      </c>
      <c r="AB119" s="28" t="s">
        <v>692</v>
      </c>
      <c r="AC119" s="28" t="s">
        <v>723</v>
      </c>
      <c r="AD119" s="28" t="s">
        <v>693</v>
      </c>
    </row>
    <row r="120" spans="3:30" x14ac:dyDescent="0.25">
      <c r="C120" s="28" t="s">
        <v>222</v>
      </c>
      <c r="D120" s="28" t="s">
        <v>211</v>
      </c>
      <c r="F120" s="28" t="s">
        <v>238</v>
      </c>
      <c r="H120" s="28" t="s">
        <v>243</v>
      </c>
      <c r="K120" s="28" t="s">
        <v>1052</v>
      </c>
      <c r="L120" s="28" t="s">
        <v>692</v>
      </c>
      <c r="M120" s="28" t="s">
        <v>809</v>
      </c>
      <c r="N120" s="28" t="s">
        <v>715</v>
      </c>
      <c r="O120" s="28" t="s">
        <v>688</v>
      </c>
      <c r="P120" s="28" t="s">
        <v>1341</v>
      </c>
      <c r="Q120" s="28" t="s">
        <v>273</v>
      </c>
      <c r="S120" s="28" t="s">
        <v>1533</v>
      </c>
      <c r="T120" s="28" t="s">
        <v>1565</v>
      </c>
      <c r="U120" s="28" t="s">
        <v>160</v>
      </c>
      <c r="V120" s="28" t="s">
        <v>253</v>
      </c>
      <c r="W120" s="28" t="s">
        <v>452</v>
      </c>
      <c r="X120" s="28" t="s">
        <v>1749</v>
      </c>
      <c r="Y120" s="28" t="s">
        <v>698</v>
      </c>
      <c r="Z120" s="28" t="s">
        <v>696</v>
      </c>
      <c r="AA120" s="28" t="s">
        <v>696</v>
      </c>
      <c r="AB120" s="28" t="s">
        <v>696</v>
      </c>
    </row>
    <row r="121" spans="3:30" x14ac:dyDescent="0.25">
      <c r="C121" s="28" t="s">
        <v>222</v>
      </c>
      <c r="E121" s="28" t="s">
        <v>208</v>
      </c>
      <c r="G121" s="28" t="s">
        <v>395</v>
      </c>
      <c r="I121" s="28" t="s">
        <v>694</v>
      </c>
      <c r="J121" s="28" t="s">
        <v>243</v>
      </c>
      <c r="L121" s="28" t="s">
        <v>693</v>
      </c>
      <c r="M121" s="28" t="s">
        <v>810</v>
      </c>
      <c r="N121" s="28" t="s">
        <v>716</v>
      </c>
      <c r="Q121" s="28" t="s">
        <v>274</v>
      </c>
      <c r="R121" s="28" t="s">
        <v>1472</v>
      </c>
      <c r="S121" s="28" t="s">
        <v>378</v>
      </c>
      <c r="T121" s="28" t="s">
        <v>378</v>
      </c>
      <c r="X121" s="28" t="s">
        <v>1750</v>
      </c>
      <c r="Y121" s="28" t="s">
        <v>699</v>
      </c>
      <c r="AC121" s="28" t="s">
        <v>724</v>
      </c>
      <c r="AD121" s="28" t="s">
        <v>694</v>
      </c>
    </row>
    <row r="122" spans="3:30" x14ac:dyDescent="0.25">
      <c r="C122" s="28" t="s">
        <v>222</v>
      </c>
      <c r="D122" s="28" t="s">
        <v>394</v>
      </c>
      <c r="E122" s="28" t="s">
        <v>209</v>
      </c>
      <c r="F122" s="28" t="s">
        <v>381</v>
      </c>
      <c r="G122" s="28" t="s">
        <v>396</v>
      </c>
      <c r="H122" s="28" t="s">
        <v>243</v>
      </c>
      <c r="I122" s="28" t="s">
        <v>697</v>
      </c>
      <c r="K122" s="28" t="s">
        <v>1059</v>
      </c>
      <c r="M122" s="28" t="s">
        <v>811</v>
      </c>
      <c r="N122" s="28" t="s">
        <v>869</v>
      </c>
      <c r="O122" s="28" t="s">
        <v>198</v>
      </c>
      <c r="P122" s="28" t="s">
        <v>849</v>
      </c>
      <c r="Q122" s="28" t="s">
        <v>266</v>
      </c>
      <c r="S122" s="28" t="s">
        <v>378</v>
      </c>
      <c r="T122" s="28" t="s">
        <v>378</v>
      </c>
      <c r="U122" s="28" t="s">
        <v>1602</v>
      </c>
      <c r="V122" s="28" t="s">
        <v>254</v>
      </c>
      <c r="W122" s="28" t="s">
        <v>160</v>
      </c>
      <c r="X122" s="28" t="s">
        <v>1725</v>
      </c>
      <c r="Y122" s="28" t="s">
        <v>700</v>
      </c>
      <c r="Z122" s="28" t="s">
        <v>694</v>
      </c>
      <c r="AA122" s="28" t="s">
        <v>694</v>
      </c>
      <c r="AB122" s="28" t="s">
        <v>694</v>
      </c>
      <c r="AC122" s="28" t="s">
        <v>725</v>
      </c>
      <c r="AD122" s="28" t="s">
        <v>695</v>
      </c>
    </row>
    <row r="123" spans="3:30" x14ac:dyDescent="0.25">
      <c r="C123" s="28" t="s">
        <v>223</v>
      </c>
      <c r="D123" s="28" t="s">
        <v>368</v>
      </c>
      <c r="F123" s="28" t="s">
        <v>382</v>
      </c>
      <c r="J123" s="28" t="s">
        <v>993</v>
      </c>
      <c r="L123" s="28" t="s">
        <v>694</v>
      </c>
      <c r="M123" s="28" t="s">
        <v>812</v>
      </c>
      <c r="N123" s="28" t="s">
        <v>869</v>
      </c>
      <c r="P123" s="28" t="s">
        <v>850</v>
      </c>
      <c r="Q123" s="28" t="s">
        <v>275</v>
      </c>
      <c r="R123" s="28" t="s">
        <v>442</v>
      </c>
      <c r="S123" s="28" t="s">
        <v>378</v>
      </c>
      <c r="T123" s="28" t="s">
        <v>378</v>
      </c>
      <c r="V123" s="28" t="s">
        <v>255</v>
      </c>
      <c r="X123" s="28" t="s">
        <v>1725</v>
      </c>
      <c r="Z123" s="28" t="s">
        <v>697</v>
      </c>
      <c r="AA123" s="28" t="s">
        <v>697</v>
      </c>
      <c r="AB123" s="28" t="s">
        <v>697</v>
      </c>
    </row>
    <row r="124" spans="3:30" x14ac:dyDescent="0.25">
      <c r="C124" s="28" t="s">
        <v>223</v>
      </c>
      <c r="D124" s="28" t="s">
        <v>373</v>
      </c>
      <c r="E124" s="28" t="s">
        <v>372</v>
      </c>
      <c r="F124" s="28" t="s">
        <v>383</v>
      </c>
      <c r="G124" s="28" t="s">
        <v>397</v>
      </c>
      <c r="H124" s="28" t="s">
        <v>667</v>
      </c>
      <c r="I124" s="28" t="s">
        <v>692</v>
      </c>
      <c r="K124" s="28" t="s">
        <v>419</v>
      </c>
      <c r="L124" s="28" t="s">
        <v>695</v>
      </c>
      <c r="M124" s="28" t="s">
        <v>809</v>
      </c>
      <c r="N124" s="28" t="s">
        <v>1184</v>
      </c>
      <c r="O124" s="28" t="s">
        <v>214</v>
      </c>
      <c r="R124" s="28" t="s">
        <v>212</v>
      </c>
      <c r="S124" s="28" t="s">
        <v>1533</v>
      </c>
      <c r="T124" s="28" t="s">
        <v>1565</v>
      </c>
      <c r="U124" s="28" t="s">
        <v>424</v>
      </c>
      <c r="V124" s="28" t="s">
        <v>248</v>
      </c>
      <c r="W124" s="28" t="s">
        <v>212</v>
      </c>
      <c r="Y124" s="28" t="s">
        <v>701</v>
      </c>
      <c r="AC124" s="28" t="s">
        <v>734</v>
      </c>
      <c r="AD124" s="28" t="s">
        <v>692</v>
      </c>
    </row>
    <row r="125" spans="3:30" x14ac:dyDescent="0.25">
      <c r="C125" s="28" t="s">
        <v>223</v>
      </c>
      <c r="D125" s="28" t="s">
        <v>160</v>
      </c>
      <c r="E125" s="28" t="s">
        <v>210</v>
      </c>
      <c r="F125" s="28" t="s">
        <v>384</v>
      </c>
      <c r="G125" s="28" t="s">
        <v>398</v>
      </c>
      <c r="I125" s="28" t="s">
        <v>698</v>
      </c>
      <c r="J125" s="28" t="s">
        <v>994</v>
      </c>
      <c r="K125" s="28" t="s">
        <v>422</v>
      </c>
      <c r="M125" s="28" t="s">
        <v>813</v>
      </c>
      <c r="N125" s="28" t="s">
        <v>716</v>
      </c>
      <c r="P125" s="28" t="s">
        <v>834</v>
      </c>
      <c r="Q125" s="28" t="s">
        <v>442</v>
      </c>
      <c r="S125" s="28" t="s">
        <v>716</v>
      </c>
      <c r="T125" s="28" t="s">
        <v>1566</v>
      </c>
      <c r="U125" s="28" t="s">
        <v>160</v>
      </c>
      <c r="V125" s="28" t="s">
        <v>246</v>
      </c>
      <c r="X125" s="28" t="s">
        <v>1751</v>
      </c>
      <c r="Z125" s="28" t="s">
        <v>692</v>
      </c>
      <c r="AA125" s="28" t="s">
        <v>692</v>
      </c>
      <c r="AB125" s="28" t="s">
        <v>692</v>
      </c>
      <c r="AC125" s="28" t="s">
        <v>1971</v>
      </c>
      <c r="AD125" s="28" t="s">
        <v>696</v>
      </c>
    </row>
    <row r="126" spans="3:30" x14ac:dyDescent="0.25">
      <c r="C126" s="28" t="s">
        <v>223</v>
      </c>
      <c r="E126" s="28" t="s">
        <v>210</v>
      </c>
      <c r="G126" s="28" t="s">
        <v>399</v>
      </c>
      <c r="H126" s="28" t="s">
        <v>668</v>
      </c>
      <c r="I126" s="28" t="s">
        <v>699</v>
      </c>
      <c r="K126" s="28" t="s">
        <v>419</v>
      </c>
      <c r="L126" s="28" t="s">
        <v>692</v>
      </c>
      <c r="M126" s="28" t="s">
        <v>811</v>
      </c>
      <c r="O126" s="28" t="s">
        <v>1280</v>
      </c>
      <c r="P126" s="28" t="s">
        <v>835</v>
      </c>
      <c r="Q126" s="28" t="s">
        <v>212</v>
      </c>
      <c r="R126" s="28" t="s">
        <v>243</v>
      </c>
      <c r="S126" s="28" t="s">
        <v>1533</v>
      </c>
      <c r="T126" s="28" t="s">
        <v>1567</v>
      </c>
      <c r="U126" s="28" t="s">
        <v>212</v>
      </c>
      <c r="V126" s="28" t="s">
        <v>256</v>
      </c>
      <c r="W126" s="28" t="s">
        <v>1697</v>
      </c>
      <c r="Y126" s="28" t="s">
        <v>702</v>
      </c>
      <c r="Z126" s="28" t="s">
        <v>698</v>
      </c>
      <c r="AA126" s="28" t="s">
        <v>698</v>
      </c>
      <c r="AB126" s="28" t="s">
        <v>698</v>
      </c>
    </row>
    <row r="127" spans="3:30" x14ac:dyDescent="0.25">
      <c r="C127" s="28" t="s">
        <v>223</v>
      </c>
      <c r="D127" s="28" t="s">
        <v>384</v>
      </c>
      <c r="E127" s="28" t="s">
        <v>210</v>
      </c>
      <c r="F127" s="28" t="s">
        <v>211</v>
      </c>
      <c r="I127" s="28" t="s">
        <v>700</v>
      </c>
      <c r="J127" s="28" t="s">
        <v>285</v>
      </c>
      <c r="K127" s="28" t="s">
        <v>212</v>
      </c>
      <c r="L127" s="28" t="s">
        <v>696</v>
      </c>
      <c r="M127" s="28" t="s">
        <v>814</v>
      </c>
      <c r="N127" s="28" t="s">
        <v>703</v>
      </c>
      <c r="O127" s="28" t="s">
        <v>722</v>
      </c>
      <c r="S127" s="28" t="s">
        <v>1533</v>
      </c>
      <c r="T127" s="28" t="s">
        <v>1567</v>
      </c>
      <c r="V127" s="28" t="s">
        <v>254</v>
      </c>
      <c r="X127" s="28" t="s">
        <v>1752</v>
      </c>
      <c r="Z127" s="28" t="s">
        <v>699</v>
      </c>
      <c r="AA127" s="28" t="s">
        <v>699</v>
      </c>
      <c r="AB127" s="28" t="s">
        <v>699</v>
      </c>
      <c r="AC127" s="28" t="s">
        <v>1877</v>
      </c>
      <c r="AD127" s="28" t="s">
        <v>694</v>
      </c>
    </row>
    <row r="128" spans="3:30" x14ac:dyDescent="0.25">
      <c r="C128" s="28" t="s">
        <v>223</v>
      </c>
      <c r="E128" s="28" t="s">
        <v>210</v>
      </c>
      <c r="G128" s="28" t="s">
        <v>400</v>
      </c>
      <c r="H128" s="28" t="s">
        <v>419</v>
      </c>
      <c r="M128" s="28" t="s">
        <v>815</v>
      </c>
      <c r="N128" s="28" t="s">
        <v>728</v>
      </c>
      <c r="O128" s="28" t="s">
        <v>1180</v>
      </c>
      <c r="P128" s="28" t="s">
        <v>838</v>
      </c>
      <c r="Q128" s="28" t="s">
        <v>562</v>
      </c>
      <c r="R128" s="28" t="s">
        <v>1473</v>
      </c>
      <c r="U128" s="28" t="s">
        <v>244</v>
      </c>
      <c r="V128" s="28" t="s">
        <v>255</v>
      </c>
      <c r="W128" s="28" t="s">
        <v>49</v>
      </c>
      <c r="X128" s="28" t="s">
        <v>1753</v>
      </c>
      <c r="Y128" s="28" t="s">
        <v>1154</v>
      </c>
      <c r="Z128" s="28" t="s">
        <v>700</v>
      </c>
      <c r="AA128" s="28" t="s">
        <v>700</v>
      </c>
      <c r="AB128" s="28" t="s">
        <v>700</v>
      </c>
      <c r="AC128" s="28" t="s">
        <v>1157</v>
      </c>
      <c r="AD128" s="28" t="s">
        <v>697</v>
      </c>
    </row>
    <row r="129" spans="3:30" x14ac:dyDescent="0.25">
      <c r="C129" s="28" t="s">
        <v>223</v>
      </c>
      <c r="D129" s="28" t="s">
        <v>395</v>
      </c>
      <c r="E129" s="28" t="s">
        <v>210</v>
      </c>
      <c r="F129" s="28" t="s">
        <v>212</v>
      </c>
      <c r="G129" s="28" t="s">
        <v>401</v>
      </c>
      <c r="H129" s="28" t="s">
        <v>422</v>
      </c>
      <c r="I129" s="28" t="s">
        <v>701</v>
      </c>
      <c r="J129" s="28" t="s">
        <v>995</v>
      </c>
      <c r="K129" s="28" t="s">
        <v>1060</v>
      </c>
      <c r="L129" s="28" t="s">
        <v>694</v>
      </c>
      <c r="M129" s="28" t="s">
        <v>809</v>
      </c>
      <c r="N129" s="28" t="s">
        <v>729</v>
      </c>
      <c r="O129" s="28" t="s">
        <v>1287</v>
      </c>
      <c r="S129" s="28" t="s">
        <v>221</v>
      </c>
      <c r="T129" s="28" t="s">
        <v>221</v>
      </c>
      <c r="U129" s="28" t="s">
        <v>420</v>
      </c>
      <c r="V129" s="28" t="s">
        <v>257</v>
      </c>
      <c r="X129" s="28" t="s">
        <v>1724</v>
      </c>
    </row>
    <row r="130" spans="3:30" x14ac:dyDescent="0.25">
      <c r="C130" s="28" t="s">
        <v>223</v>
      </c>
      <c r="D130" s="28" t="s">
        <v>396</v>
      </c>
      <c r="E130" s="28" t="s">
        <v>210</v>
      </c>
      <c r="G130" s="28" t="s">
        <v>402</v>
      </c>
      <c r="H130" s="28" t="s">
        <v>545</v>
      </c>
      <c r="L130" s="28" t="s">
        <v>697</v>
      </c>
      <c r="M130" s="28" t="s">
        <v>816</v>
      </c>
      <c r="N130" s="28" t="s">
        <v>730</v>
      </c>
      <c r="O130" s="28" t="s">
        <v>722</v>
      </c>
      <c r="P130" s="28" t="s">
        <v>861</v>
      </c>
      <c r="Q130" s="28" t="s">
        <v>1395</v>
      </c>
      <c r="R130" s="28" t="s">
        <v>419</v>
      </c>
      <c r="S130" s="28" t="s">
        <v>1534</v>
      </c>
      <c r="T130" s="28" t="s">
        <v>1568</v>
      </c>
      <c r="V130" s="28" t="s">
        <v>247</v>
      </c>
      <c r="W130" s="28" t="s">
        <v>49</v>
      </c>
      <c r="X130" s="28" t="s">
        <v>1723</v>
      </c>
      <c r="Y130" s="28" t="s">
        <v>223</v>
      </c>
      <c r="Z130" s="28" t="s">
        <v>701</v>
      </c>
      <c r="AA130" s="28" t="s">
        <v>701</v>
      </c>
      <c r="AB130" s="28" t="s">
        <v>701</v>
      </c>
      <c r="AC130" s="28" t="s">
        <v>1967</v>
      </c>
      <c r="AD130" s="28" t="s">
        <v>692</v>
      </c>
    </row>
    <row r="131" spans="3:30" x14ac:dyDescent="0.25">
      <c r="C131" s="28" t="s">
        <v>224</v>
      </c>
      <c r="E131" s="28" t="s">
        <v>210</v>
      </c>
      <c r="F131" s="28" t="s">
        <v>389</v>
      </c>
      <c r="I131" s="28" t="s">
        <v>702</v>
      </c>
      <c r="J131" s="28" t="s">
        <v>988</v>
      </c>
      <c r="K131" s="28" t="s">
        <v>243</v>
      </c>
      <c r="N131" s="28" t="s">
        <v>225</v>
      </c>
      <c r="R131" s="28" t="s">
        <v>212</v>
      </c>
      <c r="S131" s="28" t="s">
        <v>223</v>
      </c>
      <c r="T131" s="28" t="s">
        <v>223</v>
      </c>
      <c r="U131" s="28" t="s">
        <v>419</v>
      </c>
      <c r="V131" s="28" t="s">
        <v>258</v>
      </c>
      <c r="AD131" s="28" t="s">
        <v>698</v>
      </c>
    </row>
    <row r="132" spans="3:30" x14ac:dyDescent="0.25">
      <c r="D132" s="28" t="s">
        <v>397</v>
      </c>
      <c r="E132" s="28" t="s">
        <v>210</v>
      </c>
      <c r="G132" s="28" t="s">
        <v>403</v>
      </c>
      <c r="H132" s="28" t="s">
        <v>669</v>
      </c>
      <c r="L132" s="28" t="s">
        <v>692</v>
      </c>
      <c r="M132" s="28" t="s">
        <v>909</v>
      </c>
      <c r="N132" s="28" t="s">
        <v>731</v>
      </c>
      <c r="O132" s="28" t="s">
        <v>1288</v>
      </c>
      <c r="P132" s="28" t="s">
        <v>837</v>
      </c>
      <c r="Q132" s="28" t="s">
        <v>1396</v>
      </c>
      <c r="S132" s="28" t="s">
        <v>223</v>
      </c>
      <c r="T132" s="28" t="s">
        <v>223</v>
      </c>
      <c r="U132" s="28" t="s">
        <v>545</v>
      </c>
      <c r="V132" s="28" t="s">
        <v>259</v>
      </c>
      <c r="W132" s="28" t="s">
        <v>1698</v>
      </c>
      <c r="X132" s="28" t="s">
        <v>1754</v>
      </c>
      <c r="Y132" s="28" t="s">
        <v>1155</v>
      </c>
      <c r="Z132" s="28" t="s">
        <v>702</v>
      </c>
      <c r="AA132" s="28" t="s">
        <v>702</v>
      </c>
      <c r="AB132" s="28" t="s">
        <v>702</v>
      </c>
      <c r="AC132" s="28" t="s">
        <v>952</v>
      </c>
      <c r="AD132" s="28" t="s">
        <v>699</v>
      </c>
    </row>
    <row r="133" spans="3:30" x14ac:dyDescent="0.25">
      <c r="C133" s="28" t="s">
        <v>225</v>
      </c>
      <c r="D133" s="28" t="s">
        <v>398</v>
      </c>
      <c r="E133" s="28" t="s">
        <v>210</v>
      </c>
      <c r="F133" s="28" t="s">
        <v>390</v>
      </c>
      <c r="G133" s="28" t="s">
        <v>404</v>
      </c>
      <c r="I133" s="28" t="s">
        <v>949</v>
      </c>
      <c r="J133" s="28" t="s">
        <v>420</v>
      </c>
      <c r="K133" s="28" t="s">
        <v>243</v>
      </c>
      <c r="L133" s="28" t="s">
        <v>698</v>
      </c>
      <c r="M133" s="28" t="s">
        <v>910</v>
      </c>
      <c r="N133" s="28" t="s">
        <v>732</v>
      </c>
      <c r="O133" s="28" t="s">
        <v>715</v>
      </c>
      <c r="R133" s="28" t="s">
        <v>212</v>
      </c>
      <c r="S133" s="28" t="s">
        <v>1535</v>
      </c>
      <c r="T133" s="28" t="s">
        <v>1569</v>
      </c>
      <c r="X133" s="28" t="s">
        <v>849</v>
      </c>
      <c r="AC133" s="28" t="s">
        <v>740</v>
      </c>
      <c r="AD133" s="28" t="s">
        <v>700</v>
      </c>
    </row>
    <row r="134" spans="3:30" x14ac:dyDescent="0.25">
      <c r="C134" s="28" t="s">
        <v>225</v>
      </c>
      <c r="D134" s="28" t="s">
        <v>399</v>
      </c>
      <c r="E134" s="28" t="s">
        <v>210</v>
      </c>
      <c r="H134" s="28" t="s">
        <v>212</v>
      </c>
      <c r="J134" s="28" t="s">
        <v>420</v>
      </c>
      <c r="L134" s="28" t="s">
        <v>699</v>
      </c>
      <c r="N134" s="28" t="s">
        <v>225</v>
      </c>
      <c r="O134" s="28" t="s">
        <v>219</v>
      </c>
      <c r="P134" s="28" t="s">
        <v>1338</v>
      </c>
      <c r="Q134" s="28" t="s">
        <v>676</v>
      </c>
      <c r="S134" s="28" t="s">
        <v>378</v>
      </c>
      <c r="T134" s="28" t="s">
        <v>378</v>
      </c>
      <c r="U134" s="28" t="s">
        <v>244</v>
      </c>
      <c r="V134" s="28" t="s">
        <v>247</v>
      </c>
      <c r="W134" s="28" t="s">
        <v>1264</v>
      </c>
      <c r="Y134" s="28" t="s">
        <v>952</v>
      </c>
      <c r="Z134" s="28" t="s">
        <v>952</v>
      </c>
      <c r="AA134" s="28" t="s">
        <v>952</v>
      </c>
      <c r="AB134" s="28" t="s">
        <v>952</v>
      </c>
      <c r="AC134" s="28" t="s">
        <v>741</v>
      </c>
    </row>
    <row r="135" spans="3:30" x14ac:dyDescent="0.25">
      <c r="C135" s="28" t="s">
        <v>225</v>
      </c>
      <c r="E135" s="28" t="s">
        <v>210</v>
      </c>
      <c r="F135" s="28" t="s">
        <v>585</v>
      </c>
      <c r="G135" s="28" t="s">
        <v>405</v>
      </c>
      <c r="I135" s="28" t="s">
        <v>950</v>
      </c>
      <c r="K135" s="28" t="s">
        <v>1061</v>
      </c>
      <c r="L135" s="28" t="s">
        <v>700</v>
      </c>
      <c r="M135" s="28" t="s">
        <v>810</v>
      </c>
      <c r="N135" s="28" t="s">
        <v>225</v>
      </c>
      <c r="O135" s="28" t="s">
        <v>1289</v>
      </c>
      <c r="Q135" s="28" t="s">
        <v>1397</v>
      </c>
      <c r="R135" s="28" t="s">
        <v>545</v>
      </c>
      <c r="S135" s="28" t="s">
        <v>378</v>
      </c>
      <c r="T135" s="28" t="s">
        <v>378</v>
      </c>
      <c r="U135" s="28" t="s">
        <v>424</v>
      </c>
      <c r="V135" s="28" t="s">
        <v>260</v>
      </c>
      <c r="X135" s="28" t="s">
        <v>1755</v>
      </c>
      <c r="Y135" s="28" t="s">
        <v>740</v>
      </c>
      <c r="Z135" s="28" t="s">
        <v>740</v>
      </c>
      <c r="AA135" s="28" t="s">
        <v>740</v>
      </c>
      <c r="AB135" s="28" t="s">
        <v>740</v>
      </c>
      <c r="AC135" s="28" t="s">
        <v>742</v>
      </c>
      <c r="AD135" s="28" t="s">
        <v>701</v>
      </c>
    </row>
    <row r="136" spans="3:30" x14ac:dyDescent="0.25">
      <c r="C136" s="28" t="s">
        <v>225</v>
      </c>
      <c r="D136" s="28" t="s">
        <v>400</v>
      </c>
      <c r="E136" s="28" t="s">
        <v>210</v>
      </c>
      <c r="G136" s="28" t="s">
        <v>406</v>
      </c>
      <c r="H136" s="28" t="s">
        <v>243</v>
      </c>
      <c r="J136" s="28" t="s">
        <v>422</v>
      </c>
      <c r="N136" s="28" t="s">
        <v>731</v>
      </c>
      <c r="O136" s="28" t="s">
        <v>219</v>
      </c>
      <c r="P136" s="28" t="s">
        <v>845</v>
      </c>
      <c r="R136" s="28" t="s">
        <v>244</v>
      </c>
      <c r="S136" s="28" t="s">
        <v>1534</v>
      </c>
      <c r="T136" s="28" t="s">
        <v>1568</v>
      </c>
      <c r="V136" s="28" t="s">
        <v>247</v>
      </c>
      <c r="W136" s="28" t="s">
        <v>412</v>
      </c>
      <c r="X136" s="28" t="s">
        <v>1756</v>
      </c>
      <c r="Y136" s="28" t="s">
        <v>741</v>
      </c>
      <c r="Z136" s="28" t="s">
        <v>741</v>
      </c>
      <c r="AA136" s="28" t="s">
        <v>741</v>
      </c>
      <c r="AB136" s="28" t="s">
        <v>741</v>
      </c>
      <c r="AC136" s="28" t="s">
        <v>743</v>
      </c>
    </row>
    <row r="137" spans="3:30" x14ac:dyDescent="0.25">
      <c r="C137" s="28" t="s">
        <v>225</v>
      </c>
      <c r="D137" s="28" t="s">
        <v>401</v>
      </c>
      <c r="E137" s="28" t="s">
        <v>210</v>
      </c>
      <c r="F137" s="28" t="s">
        <v>201</v>
      </c>
      <c r="G137" s="28" t="s">
        <v>407</v>
      </c>
      <c r="I137" s="28" t="s">
        <v>160</v>
      </c>
      <c r="K137" s="28" t="s">
        <v>1042</v>
      </c>
      <c r="L137" s="28" t="s">
        <v>701</v>
      </c>
      <c r="M137" s="28" t="s">
        <v>811</v>
      </c>
      <c r="N137" s="28" t="s">
        <v>732</v>
      </c>
      <c r="P137" s="28" t="s">
        <v>846</v>
      </c>
      <c r="Q137" s="28" t="s">
        <v>1398</v>
      </c>
      <c r="S137" s="28" t="s">
        <v>1534</v>
      </c>
      <c r="T137" s="28" t="s">
        <v>1568</v>
      </c>
      <c r="U137" s="28" t="s">
        <v>916</v>
      </c>
      <c r="V137" s="28" t="s">
        <v>261</v>
      </c>
      <c r="W137" s="28" t="s">
        <v>413</v>
      </c>
      <c r="X137" s="28" t="s">
        <v>1222</v>
      </c>
      <c r="Y137" s="28" t="s">
        <v>742</v>
      </c>
      <c r="Z137" s="28" t="s">
        <v>742</v>
      </c>
      <c r="AA137" s="28" t="s">
        <v>742</v>
      </c>
      <c r="AB137" s="28" t="s">
        <v>742</v>
      </c>
      <c r="AC137" s="28" t="s">
        <v>744</v>
      </c>
      <c r="AD137" s="28" t="s">
        <v>702</v>
      </c>
    </row>
    <row r="138" spans="3:30" x14ac:dyDescent="0.25">
      <c r="C138" s="28" t="s">
        <v>225</v>
      </c>
      <c r="D138" s="28" t="s">
        <v>402</v>
      </c>
      <c r="E138" s="28" t="s">
        <v>210</v>
      </c>
      <c r="H138" s="28" t="s">
        <v>212</v>
      </c>
      <c r="J138" s="28" t="s">
        <v>160</v>
      </c>
      <c r="K138" s="28" t="s">
        <v>982</v>
      </c>
      <c r="M138" s="28" t="s">
        <v>820</v>
      </c>
      <c r="O138" s="28" t="s">
        <v>1288</v>
      </c>
      <c r="R138" s="28" t="s">
        <v>212</v>
      </c>
      <c r="V138" s="28" t="s">
        <v>254</v>
      </c>
      <c r="X138" s="28" t="s">
        <v>1222</v>
      </c>
      <c r="Y138" s="28" t="s">
        <v>743</v>
      </c>
      <c r="Z138" s="28" t="s">
        <v>743</v>
      </c>
      <c r="AA138" s="28" t="s">
        <v>743</v>
      </c>
      <c r="AB138" s="28" t="s">
        <v>743</v>
      </c>
    </row>
    <row r="139" spans="3:30" x14ac:dyDescent="0.25">
      <c r="C139" s="28" t="s">
        <v>225</v>
      </c>
      <c r="E139" s="28" t="s">
        <v>210</v>
      </c>
      <c r="F139" s="28" t="s">
        <v>217</v>
      </c>
      <c r="G139" s="28" t="s">
        <v>389</v>
      </c>
      <c r="I139" s="28" t="s">
        <v>951</v>
      </c>
      <c r="K139" s="28" t="s">
        <v>545</v>
      </c>
      <c r="L139" s="28" t="s">
        <v>702</v>
      </c>
      <c r="M139" s="28" t="s">
        <v>821</v>
      </c>
      <c r="N139" s="28" t="s">
        <v>723</v>
      </c>
      <c r="O139" s="28" t="s">
        <v>715</v>
      </c>
      <c r="P139" s="28" t="s">
        <v>1339</v>
      </c>
      <c r="Q139" s="28" t="s">
        <v>1392</v>
      </c>
      <c r="S139" s="28" t="s">
        <v>73</v>
      </c>
      <c r="T139" s="28" t="s">
        <v>73</v>
      </c>
      <c r="U139" s="28" t="s">
        <v>390</v>
      </c>
      <c r="V139" s="28" t="s">
        <v>262</v>
      </c>
      <c r="W139" s="28" t="s">
        <v>1695</v>
      </c>
      <c r="X139" s="28" t="s">
        <v>1757</v>
      </c>
      <c r="Y139" s="28" t="s">
        <v>744</v>
      </c>
      <c r="Z139" s="28" t="s">
        <v>744</v>
      </c>
      <c r="AA139" s="28" t="s">
        <v>744</v>
      </c>
      <c r="AB139" s="28" t="s">
        <v>744</v>
      </c>
      <c r="AC139" s="28" t="s">
        <v>378</v>
      </c>
      <c r="AD139" s="28" t="s">
        <v>952</v>
      </c>
    </row>
    <row r="140" spans="3:30" x14ac:dyDescent="0.25">
      <c r="C140" s="28" t="s">
        <v>225</v>
      </c>
      <c r="D140" s="28" t="s">
        <v>403</v>
      </c>
      <c r="F140" s="28" t="s">
        <v>586</v>
      </c>
      <c r="H140" s="28" t="s">
        <v>417</v>
      </c>
      <c r="J140" s="28" t="s">
        <v>212</v>
      </c>
      <c r="O140" s="28" t="s">
        <v>219</v>
      </c>
      <c r="P140" s="28" t="s">
        <v>1340</v>
      </c>
      <c r="R140" s="28" t="s">
        <v>1474</v>
      </c>
      <c r="V140" s="28" t="s">
        <v>254</v>
      </c>
      <c r="X140" s="28" t="s">
        <v>1758</v>
      </c>
      <c r="AC140" s="28" t="s">
        <v>378</v>
      </c>
      <c r="AD140" s="28" t="s">
        <v>740</v>
      </c>
    </row>
    <row r="141" spans="3:30" x14ac:dyDescent="0.25">
      <c r="C141" s="28" t="s">
        <v>225</v>
      </c>
      <c r="D141" s="28" t="s">
        <v>404</v>
      </c>
      <c r="E141" s="28" t="s">
        <v>214</v>
      </c>
      <c r="F141" s="28" t="s">
        <v>586</v>
      </c>
      <c r="G141" s="28" t="s">
        <v>390</v>
      </c>
      <c r="I141" s="28" t="s">
        <v>947</v>
      </c>
      <c r="K141" s="28" t="s">
        <v>424</v>
      </c>
      <c r="L141" s="28" t="s">
        <v>1120</v>
      </c>
      <c r="M141" s="28" t="s">
        <v>811</v>
      </c>
      <c r="N141" s="28" t="s">
        <v>724</v>
      </c>
      <c r="O141" s="28" t="s">
        <v>1289</v>
      </c>
      <c r="Q141" s="28" t="s">
        <v>1399</v>
      </c>
      <c r="S141" s="28" t="s">
        <v>411</v>
      </c>
      <c r="T141" s="28" t="s">
        <v>411</v>
      </c>
      <c r="U141" s="28" t="s">
        <v>1582</v>
      </c>
      <c r="V141" s="28" t="s">
        <v>255</v>
      </c>
      <c r="W141" s="28" t="s">
        <v>414</v>
      </c>
      <c r="Y141" s="28" t="s">
        <v>378</v>
      </c>
      <c r="Z141" s="28" t="s">
        <v>378</v>
      </c>
      <c r="AA141" s="28" t="s">
        <v>378</v>
      </c>
      <c r="AB141" s="28" t="s">
        <v>378</v>
      </c>
      <c r="AC141" s="28" t="s">
        <v>378</v>
      </c>
      <c r="AD141" s="28" t="s">
        <v>741</v>
      </c>
    </row>
    <row r="142" spans="3:30" x14ac:dyDescent="0.25">
      <c r="C142" s="28" t="s">
        <v>225</v>
      </c>
      <c r="E142" s="28" t="s">
        <v>485</v>
      </c>
      <c r="F142" s="28" t="s">
        <v>378</v>
      </c>
      <c r="H142" s="28" t="s">
        <v>670</v>
      </c>
      <c r="J142" s="28" t="s">
        <v>243</v>
      </c>
      <c r="K142" s="28" t="s">
        <v>420</v>
      </c>
      <c r="M142" s="28" t="s">
        <v>822</v>
      </c>
      <c r="N142" s="28" t="s">
        <v>725</v>
      </c>
      <c r="O142" s="28" t="s">
        <v>219</v>
      </c>
      <c r="P142" s="28" t="s">
        <v>245</v>
      </c>
      <c r="R142" s="28" t="s">
        <v>244</v>
      </c>
      <c r="V142" s="28" t="s">
        <v>263</v>
      </c>
      <c r="X142" s="28" t="s">
        <v>1759</v>
      </c>
      <c r="Y142" s="28" t="s">
        <v>378</v>
      </c>
      <c r="Z142" s="28" t="s">
        <v>378</v>
      </c>
      <c r="AA142" s="28" t="s">
        <v>378</v>
      </c>
      <c r="AB142" s="28" t="s">
        <v>378</v>
      </c>
      <c r="AC142" s="28" t="s">
        <v>378</v>
      </c>
      <c r="AD142" s="28" t="s">
        <v>742</v>
      </c>
    </row>
    <row r="143" spans="3:30" x14ac:dyDescent="0.25">
      <c r="C143" s="28" t="s">
        <v>225</v>
      </c>
      <c r="D143" s="28" t="s">
        <v>405</v>
      </c>
      <c r="E143" s="28" t="s">
        <v>486</v>
      </c>
      <c r="F143" s="28" t="s">
        <v>378</v>
      </c>
      <c r="G143" s="28" t="s">
        <v>608</v>
      </c>
      <c r="I143" s="28" t="s">
        <v>947</v>
      </c>
      <c r="L143" s="28" t="s">
        <v>740</v>
      </c>
      <c r="M143" s="28" t="s">
        <v>811</v>
      </c>
      <c r="P143" s="28" t="s">
        <v>246</v>
      </c>
      <c r="Q143" s="28" t="s">
        <v>1400</v>
      </c>
      <c r="R143" s="28" t="s">
        <v>419</v>
      </c>
      <c r="S143" s="28" t="s">
        <v>1264</v>
      </c>
      <c r="T143" s="28" t="s">
        <v>1264</v>
      </c>
      <c r="U143" s="28" t="s">
        <v>1603</v>
      </c>
      <c r="V143" s="28" t="s">
        <v>261</v>
      </c>
      <c r="W143" s="28" t="s">
        <v>423</v>
      </c>
      <c r="X143" s="28" t="s">
        <v>1760</v>
      </c>
      <c r="Y143" s="28" t="s">
        <v>378</v>
      </c>
      <c r="Z143" s="28" t="s">
        <v>378</v>
      </c>
      <c r="AA143" s="28" t="s">
        <v>378</v>
      </c>
      <c r="AB143" s="28" t="s">
        <v>378</v>
      </c>
      <c r="AC143" s="28" t="s">
        <v>1879</v>
      </c>
      <c r="AD143" s="28" t="s">
        <v>743</v>
      </c>
    </row>
    <row r="144" spans="3:30" x14ac:dyDescent="0.25">
      <c r="C144" s="28" t="s">
        <v>225</v>
      </c>
      <c r="D144" s="28" t="s">
        <v>406</v>
      </c>
      <c r="E144" s="28" t="s">
        <v>486</v>
      </c>
      <c r="F144" s="28" t="s">
        <v>378</v>
      </c>
      <c r="H144" s="28" t="s">
        <v>671</v>
      </c>
      <c r="J144" s="28" t="s">
        <v>160</v>
      </c>
      <c r="K144" s="28" t="s">
        <v>1056</v>
      </c>
      <c r="L144" s="28" t="s">
        <v>741</v>
      </c>
      <c r="N144" s="28" t="s">
        <v>734</v>
      </c>
      <c r="O144" s="28" t="s">
        <v>692</v>
      </c>
      <c r="P144" s="28" t="s">
        <v>247</v>
      </c>
      <c r="R144" s="28" t="s">
        <v>244</v>
      </c>
      <c r="V144" s="28" t="s">
        <v>245</v>
      </c>
      <c r="Y144" s="28" t="s">
        <v>378</v>
      </c>
      <c r="Z144" s="28" t="s">
        <v>378</v>
      </c>
      <c r="AA144" s="28" t="s">
        <v>378</v>
      </c>
      <c r="AB144" s="28" t="s">
        <v>378</v>
      </c>
      <c r="AD144" s="28" t="s">
        <v>744</v>
      </c>
    </row>
    <row r="145" spans="3:30" x14ac:dyDescent="0.25">
      <c r="D145" s="28" t="s">
        <v>407</v>
      </c>
      <c r="E145" s="28" t="s">
        <v>486</v>
      </c>
      <c r="F145" s="28" t="s">
        <v>586</v>
      </c>
      <c r="G145" s="28" t="s">
        <v>614</v>
      </c>
      <c r="I145" s="28" t="s">
        <v>952</v>
      </c>
      <c r="J145" s="28" t="s">
        <v>160</v>
      </c>
      <c r="L145" s="28" t="s">
        <v>742</v>
      </c>
      <c r="M145" s="28" t="s">
        <v>911</v>
      </c>
      <c r="N145" s="28" t="s">
        <v>1083</v>
      </c>
      <c r="O145" s="28" t="s">
        <v>693</v>
      </c>
      <c r="P145" s="28" t="s">
        <v>248</v>
      </c>
      <c r="Q145" s="28" t="s">
        <v>284</v>
      </c>
      <c r="R145" s="28" t="s">
        <v>160</v>
      </c>
      <c r="S145" s="28" t="s">
        <v>1529</v>
      </c>
      <c r="T145" s="28" t="s">
        <v>1564</v>
      </c>
      <c r="U145" s="28" t="s">
        <v>502</v>
      </c>
      <c r="V145" s="28" t="s">
        <v>264</v>
      </c>
      <c r="W145" s="28" t="s">
        <v>556</v>
      </c>
      <c r="X145" s="28" t="s">
        <v>1761</v>
      </c>
      <c r="Y145" s="28" t="s">
        <v>1879</v>
      </c>
      <c r="Z145" s="28" t="s">
        <v>1879</v>
      </c>
      <c r="AA145" s="28" t="s">
        <v>1879</v>
      </c>
      <c r="AB145" s="28" t="s">
        <v>1879</v>
      </c>
      <c r="AC145" s="28" t="s">
        <v>1880</v>
      </c>
    </row>
    <row r="146" spans="3:30" x14ac:dyDescent="0.25">
      <c r="C146" s="28" t="s">
        <v>226</v>
      </c>
      <c r="E146" s="28" t="s">
        <v>215</v>
      </c>
      <c r="F146" s="28" t="s">
        <v>587</v>
      </c>
      <c r="H146" s="28" t="s">
        <v>672</v>
      </c>
      <c r="I146" s="28" t="s">
        <v>740</v>
      </c>
      <c r="K146" s="28" t="s">
        <v>1062</v>
      </c>
      <c r="L146" s="28" t="s">
        <v>743</v>
      </c>
      <c r="N146" s="28" t="s">
        <v>736</v>
      </c>
      <c r="P146" s="28" t="s">
        <v>245</v>
      </c>
      <c r="AD146" s="28" t="s">
        <v>378</v>
      </c>
    </row>
    <row r="147" spans="3:30" x14ac:dyDescent="0.25">
      <c r="C147" s="28" t="s">
        <v>227</v>
      </c>
      <c r="D147" s="28" t="s">
        <v>408</v>
      </c>
      <c r="E147" s="28" t="s">
        <v>215</v>
      </c>
      <c r="F147" s="28" t="s">
        <v>588</v>
      </c>
      <c r="G147" s="28" t="s">
        <v>606</v>
      </c>
      <c r="I147" s="28" t="s">
        <v>741</v>
      </c>
      <c r="J147" s="28" t="s">
        <v>243</v>
      </c>
      <c r="L147" s="28" t="s">
        <v>744</v>
      </c>
      <c r="M147" s="28" t="s">
        <v>823</v>
      </c>
      <c r="N147" s="28" t="s">
        <v>737</v>
      </c>
      <c r="O147" s="28" t="s">
        <v>694</v>
      </c>
      <c r="P147" s="28" t="s">
        <v>249</v>
      </c>
      <c r="Q147" s="28" t="s">
        <v>212</v>
      </c>
      <c r="R147" s="28" t="s">
        <v>244</v>
      </c>
      <c r="S147" s="28" t="s">
        <v>599</v>
      </c>
      <c r="T147" s="28" t="s">
        <v>599</v>
      </c>
      <c r="U147" s="28" t="s">
        <v>502</v>
      </c>
      <c r="V147" s="28" t="s">
        <v>255</v>
      </c>
      <c r="W147" s="28" t="s">
        <v>1699</v>
      </c>
      <c r="X147" s="28" t="s">
        <v>836</v>
      </c>
      <c r="Y147" s="28" t="s">
        <v>1880</v>
      </c>
      <c r="Z147" s="28" t="s">
        <v>1880</v>
      </c>
      <c r="AA147" s="28" t="s">
        <v>1880</v>
      </c>
      <c r="AB147" s="28" t="s">
        <v>1880</v>
      </c>
      <c r="AC147" s="28" t="s">
        <v>751</v>
      </c>
      <c r="AD147" s="28" t="s">
        <v>378</v>
      </c>
    </row>
    <row r="148" spans="3:30" x14ac:dyDescent="0.25">
      <c r="C148" s="28" t="s">
        <v>228</v>
      </c>
      <c r="E148" s="28" t="s">
        <v>215</v>
      </c>
      <c r="F148" s="28" t="s">
        <v>589</v>
      </c>
      <c r="H148" s="28" t="s">
        <v>673</v>
      </c>
      <c r="I148" s="28" t="s">
        <v>742</v>
      </c>
      <c r="K148" s="28" t="s">
        <v>243</v>
      </c>
      <c r="M148" s="28" t="s">
        <v>809</v>
      </c>
      <c r="N148" s="28" t="s">
        <v>1083</v>
      </c>
      <c r="O148" s="28" t="s">
        <v>695</v>
      </c>
      <c r="P148" s="28" t="s">
        <v>247</v>
      </c>
      <c r="R148" s="28" t="s">
        <v>285</v>
      </c>
      <c r="AD148" s="28" t="s">
        <v>378</v>
      </c>
    </row>
    <row r="149" spans="3:30" x14ac:dyDescent="0.25">
      <c r="C149" s="28" t="s">
        <v>229</v>
      </c>
      <c r="D149" s="28" t="s">
        <v>409</v>
      </c>
      <c r="E149" s="28" t="s">
        <v>215</v>
      </c>
      <c r="G149" s="28" t="s">
        <v>411</v>
      </c>
      <c r="I149" s="28" t="s">
        <v>743</v>
      </c>
      <c r="J149" s="28" t="s">
        <v>424</v>
      </c>
      <c r="L149" s="28" t="s">
        <v>378</v>
      </c>
      <c r="M149" s="28" t="s">
        <v>826</v>
      </c>
      <c r="N149" s="28" t="s">
        <v>1083</v>
      </c>
      <c r="P149" s="28" t="s">
        <v>250</v>
      </c>
      <c r="Q149" s="28" t="s">
        <v>1401</v>
      </c>
      <c r="R149" s="28" t="s">
        <v>212</v>
      </c>
      <c r="S149" s="28" t="s">
        <v>419</v>
      </c>
      <c r="T149" s="28" t="s">
        <v>419</v>
      </c>
      <c r="U149" s="28" t="s">
        <v>919</v>
      </c>
      <c r="V149" s="28" t="s">
        <v>250</v>
      </c>
      <c r="W149" s="28" t="s">
        <v>1678</v>
      </c>
      <c r="X149" s="28" t="s">
        <v>838</v>
      </c>
      <c r="Y149" s="28" t="s">
        <v>751</v>
      </c>
      <c r="Z149" s="28" t="s">
        <v>751</v>
      </c>
      <c r="AA149" s="28" t="s">
        <v>751</v>
      </c>
      <c r="AB149" s="28" t="s">
        <v>751</v>
      </c>
      <c r="AC149" s="28" t="s">
        <v>703</v>
      </c>
      <c r="AD149" s="28" t="s">
        <v>378</v>
      </c>
    </row>
    <row r="150" spans="3:30" x14ac:dyDescent="0.25">
      <c r="C150" s="28" t="s">
        <v>230</v>
      </c>
      <c r="E150" s="28" t="s">
        <v>215</v>
      </c>
      <c r="F150" s="28" t="s">
        <v>221</v>
      </c>
      <c r="H150" s="28" t="s">
        <v>674</v>
      </c>
      <c r="I150" s="28" t="s">
        <v>744</v>
      </c>
      <c r="K150" s="28" t="s">
        <v>243</v>
      </c>
      <c r="L150" s="28" t="s">
        <v>745</v>
      </c>
      <c r="N150" s="28" t="s">
        <v>736</v>
      </c>
      <c r="O150" s="28" t="s">
        <v>723</v>
      </c>
      <c r="P150" s="28" t="s">
        <v>251</v>
      </c>
      <c r="R150" s="28" t="s">
        <v>160</v>
      </c>
      <c r="S150" s="28" t="s">
        <v>243</v>
      </c>
      <c r="T150" s="28" t="s">
        <v>243</v>
      </c>
      <c r="U150" s="28" t="s">
        <v>1264</v>
      </c>
      <c r="V150" s="28" t="s">
        <v>261</v>
      </c>
      <c r="AC150" s="28" t="s">
        <v>368</v>
      </c>
      <c r="AD150" s="28" t="s">
        <v>1879</v>
      </c>
    </row>
    <row r="151" spans="3:30" x14ac:dyDescent="0.25">
      <c r="C151" s="28" t="s">
        <v>231</v>
      </c>
      <c r="D151" s="28" t="s">
        <v>410</v>
      </c>
      <c r="E151" s="28" t="s">
        <v>215</v>
      </c>
      <c r="F151" s="28" t="s">
        <v>590</v>
      </c>
      <c r="G151" s="28" t="s">
        <v>390</v>
      </c>
      <c r="J151" s="28" t="s">
        <v>984</v>
      </c>
      <c r="L151" s="28" t="s">
        <v>746</v>
      </c>
      <c r="M151" s="28" t="s">
        <v>827</v>
      </c>
      <c r="N151" s="28" t="s">
        <v>737</v>
      </c>
      <c r="P151" s="28" t="s">
        <v>245</v>
      </c>
      <c r="Q151" s="28" t="s">
        <v>1397</v>
      </c>
      <c r="S151" s="28" t="s">
        <v>285</v>
      </c>
      <c r="T151" s="28" t="s">
        <v>285</v>
      </c>
      <c r="V151" s="28" t="s">
        <v>245</v>
      </c>
      <c r="W151" s="28" t="s">
        <v>423</v>
      </c>
      <c r="X151" s="28" t="s">
        <v>837</v>
      </c>
      <c r="Y151" s="28" t="s">
        <v>703</v>
      </c>
      <c r="Z151" s="28" t="s">
        <v>703</v>
      </c>
      <c r="AA151" s="28" t="s">
        <v>703</v>
      </c>
      <c r="AB151" s="28" t="s">
        <v>703</v>
      </c>
    </row>
    <row r="152" spans="3:30" x14ac:dyDescent="0.25">
      <c r="C152" s="28" t="s">
        <v>232</v>
      </c>
      <c r="E152" s="28" t="s">
        <v>215</v>
      </c>
      <c r="F152" s="28" t="s">
        <v>590</v>
      </c>
      <c r="H152" s="28" t="s">
        <v>675</v>
      </c>
      <c r="I152" s="28" t="s">
        <v>378</v>
      </c>
      <c r="K152" s="28" t="s">
        <v>1063</v>
      </c>
      <c r="L152" s="28" t="s">
        <v>378</v>
      </c>
      <c r="M152" s="28" t="s">
        <v>823</v>
      </c>
      <c r="O152" s="28" t="s">
        <v>724</v>
      </c>
      <c r="P152" s="28" t="s">
        <v>252</v>
      </c>
      <c r="R152" s="28" t="s">
        <v>1475</v>
      </c>
      <c r="T152" s="28" t="s">
        <v>420</v>
      </c>
      <c r="U152" s="28" t="s">
        <v>1574</v>
      </c>
      <c r="V152" s="28" t="s">
        <v>263</v>
      </c>
      <c r="Y152" s="28" t="s">
        <v>368</v>
      </c>
      <c r="Z152" s="28" t="s">
        <v>368</v>
      </c>
      <c r="AA152" s="28" t="s">
        <v>368</v>
      </c>
      <c r="AB152" s="28" t="s">
        <v>368</v>
      </c>
      <c r="AC152" s="28" t="s">
        <v>752</v>
      </c>
      <c r="AD152" s="28" t="s">
        <v>1880</v>
      </c>
    </row>
    <row r="153" spans="3:30" x14ac:dyDescent="0.25">
      <c r="C153" s="28" t="s">
        <v>233</v>
      </c>
      <c r="D153" s="28" t="s">
        <v>369</v>
      </c>
      <c r="E153" s="28" t="s">
        <v>215</v>
      </c>
      <c r="F153" s="28" t="s">
        <v>223</v>
      </c>
      <c r="G153" s="28" t="s">
        <v>593</v>
      </c>
      <c r="I153" s="28" t="s">
        <v>745</v>
      </c>
      <c r="J153" s="28" t="s">
        <v>212</v>
      </c>
      <c r="L153" s="28" t="s">
        <v>747</v>
      </c>
      <c r="M153" s="28" t="s">
        <v>809</v>
      </c>
      <c r="N153" s="28" t="s">
        <v>726</v>
      </c>
      <c r="O153" s="28" t="s">
        <v>725</v>
      </c>
      <c r="Q153" s="28" t="s">
        <v>1402</v>
      </c>
      <c r="S153" s="28" t="s">
        <v>73</v>
      </c>
      <c r="V153" s="28" t="s">
        <v>254</v>
      </c>
      <c r="W153" s="28" t="s">
        <v>1519</v>
      </c>
      <c r="X153" s="28" t="s">
        <v>1762</v>
      </c>
    </row>
    <row r="154" spans="3:30" x14ac:dyDescent="0.25">
      <c r="C154" s="28" t="s">
        <v>234</v>
      </c>
      <c r="E154" s="28" t="s">
        <v>215</v>
      </c>
      <c r="F154" s="28" t="s">
        <v>223</v>
      </c>
      <c r="H154" s="28" t="s">
        <v>285</v>
      </c>
      <c r="I154" s="28" t="s">
        <v>746</v>
      </c>
      <c r="K154" s="28" t="s">
        <v>284</v>
      </c>
      <c r="M154" s="28" t="s">
        <v>976</v>
      </c>
      <c r="N154" s="28" t="s">
        <v>727</v>
      </c>
      <c r="P154" s="28" t="s">
        <v>253</v>
      </c>
      <c r="R154" s="28" t="s">
        <v>676</v>
      </c>
      <c r="T154" s="28" t="s">
        <v>73</v>
      </c>
      <c r="U154" s="28" t="s">
        <v>160</v>
      </c>
      <c r="V154" s="28" t="s">
        <v>253</v>
      </c>
      <c r="X154" s="28" t="s">
        <v>1763</v>
      </c>
      <c r="Y154" s="28" t="s">
        <v>752</v>
      </c>
      <c r="Z154" s="28" t="s">
        <v>752</v>
      </c>
      <c r="AA154" s="28" t="s">
        <v>752</v>
      </c>
      <c r="AB154" s="28" t="s">
        <v>752</v>
      </c>
      <c r="AC154" s="28" t="s">
        <v>753</v>
      </c>
      <c r="AD154" s="28" t="s">
        <v>751</v>
      </c>
    </row>
    <row r="155" spans="3:30" x14ac:dyDescent="0.25">
      <c r="C155" s="28" t="s">
        <v>235</v>
      </c>
      <c r="D155" s="28" t="s">
        <v>411</v>
      </c>
      <c r="E155" s="28" t="s">
        <v>215</v>
      </c>
      <c r="F155" s="28" t="s">
        <v>590</v>
      </c>
      <c r="G155" s="28" t="s">
        <v>284</v>
      </c>
      <c r="I155" s="28" t="s">
        <v>378</v>
      </c>
      <c r="J155" s="28" t="s">
        <v>996</v>
      </c>
      <c r="L155" s="28" t="s">
        <v>748</v>
      </c>
      <c r="M155" s="28" t="s">
        <v>909</v>
      </c>
      <c r="O155" s="28" t="s">
        <v>726</v>
      </c>
      <c r="Q155" s="28" t="s">
        <v>1403</v>
      </c>
      <c r="S155" s="28" t="s">
        <v>286</v>
      </c>
      <c r="W155" s="28" t="s">
        <v>1697</v>
      </c>
    </row>
    <row r="156" spans="3:30" x14ac:dyDescent="0.25">
      <c r="C156" s="28" t="s">
        <v>236</v>
      </c>
      <c r="E156" s="28" t="s">
        <v>215</v>
      </c>
      <c r="F156" s="28" t="s">
        <v>378</v>
      </c>
      <c r="H156" s="28" t="s">
        <v>285</v>
      </c>
      <c r="I156" s="28" t="s">
        <v>747</v>
      </c>
      <c r="K156" s="28" t="s">
        <v>1064</v>
      </c>
      <c r="L156" s="28" t="s">
        <v>749</v>
      </c>
      <c r="N156" s="28" t="s">
        <v>738</v>
      </c>
      <c r="O156" s="28" t="s">
        <v>727</v>
      </c>
      <c r="P156" s="28" t="s">
        <v>254</v>
      </c>
      <c r="R156" s="28" t="s">
        <v>954</v>
      </c>
      <c r="T156" s="28" t="s">
        <v>286</v>
      </c>
      <c r="U156" s="28" t="s">
        <v>160</v>
      </c>
      <c r="V156" s="28" t="s">
        <v>254</v>
      </c>
      <c r="X156" s="28" t="s">
        <v>497</v>
      </c>
      <c r="Y156" s="28" t="s">
        <v>753</v>
      </c>
      <c r="Z156" s="28" t="s">
        <v>753</v>
      </c>
      <c r="AA156" s="28" t="s">
        <v>753</v>
      </c>
      <c r="AB156" s="28" t="s">
        <v>753</v>
      </c>
      <c r="AC156" s="28" t="s">
        <v>754</v>
      </c>
      <c r="AD156" s="28" t="s">
        <v>703</v>
      </c>
    </row>
    <row r="157" spans="3:30" x14ac:dyDescent="0.25">
      <c r="C157" s="28" t="s">
        <v>237</v>
      </c>
      <c r="D157" s="28" t="s">
        <v>390</v>
      </c>
      <c r="E157" s="28" t="s">
        <v>215</v>
      </c>
      <c r="F157" s="28" t="s">
        <v>378</v>
      </c>
      <c r="G157" s="28" t="s">
        <v>412</v>
      </c>
      <c r="J157" s="28" t="s">
        <v>997</v>
      </c>
      <c r="M157" s="28" t="s">
        <v>810</v>
      </c>
      <c r="N157" s="28" t="s">
        <v>738</v>
      </c>
      <c r="P157" s="28" t="s">
        <v>255</v>
      </c>
      <c r="Q157" s="28" t="s">
        <v>244</v>
      </c>
      <c r="S157" s="28" t="s">
        <v>287</v>
      </c>
      <c r="V157" s="28" t="s">
        <v>255</v>
      </c>
      <c r="W157" s="28" t="s">
        <v>244</v>
      </c>
      <c r="X157" s="28" t="s">
        <v>497</v>
      </c>
      <c r="AC157" s="28" t="s">
        <v>755</v>
      </c>
      <c r="AD157" s="28" t="s">
        <v>368</v>
      </c>
    </row>
    <row r="158" spans="3:30" x14ac:dyDescent="0.25">
      <c r="C158" s="28" t="s">
        <v>238</v>
      </c>
      <c r="F158" s="28" t="s">
        <v>590</v>
      </c>
      <c r="G158" s="28" t="s">
        <v>413</v>
      </c>
      <c r="H158" s="28" t="s">
        <v>285</v>
      </c>
      <c r="I158" s="28" t="s">
        <v>748</v>
      </c>
      <c r="K158" s="28" t="s">
        <v>212</v>
      </c>
      <c r="L158" s="28" t="s">
        <v>750</v>
      </c>
      <c r="M158" s="28" t="s">
        <v>818</v>
      </c>
      <c r="N158" s="28" t="s">
        <v>738</v>
      </c>
      <c r="O158" s="28" t="s">
        <v>703</v>
      </c>
      <c r="P158" s="28" t="s">
        <v>248</v>
      </c>
      <c r="R158" s="28" t="s">
        <v>1472</v>
      </c>
      <c r="S158" s="28" t="s">
        <v>288</v>
      </c>
      <c r="T158" s="28" t="s">
        <v>287</v>
      </c>
      <c r="U158" s="28" t="s">
        <v>422</v>
      </c>
      <c r="V158" s="28" t="s">
        <v>248</v>
      </c>
      <c r="Y158" s="28" t="s">
        <v>754</v>
      </c>
      <c r="Z158" s="28" t="s">
        <v>754</v>
      </c>
      <c r="AA158" s="28" t="s">
        <v>754</v>
      </c>
      <c r="AB158" s="28" t="s">
        <v>754</v>
      </c>
    </row>
    <row r="159" spans="3:30" x14ac:dyDescent="0.25">
      <c r="D159" s="28" t="s">
        <v>412</v>
      </c>
      <c r="E159" s="28" t="s">
        <v>160</v>
      </c>
      <c r="F159" s="28" t="s">
        <v>591</v>
      </c>
      <c r="H159" s="28" t="s">
        <v>420</v>
      </c>
      <c r="I159" s="28" t="s">
        <v>749</v>
      </c>
      <c r="J159" s="28" t="s">
        <v>998</v>
      </c>
      <c r="N159" s="28" t="s">
        <v>738</v>
      </c>
      <c r="O159" s="28" t="s">
        <v>728</v>
      </c>
      <c r="P159" s="28" t="s">
        <v>246</v>
      </c>
      <c r="Q159" s="28" t="s">
        <v>1402</v>
      </c>
      <c r="T159" s="28" t="s">
        <v>288</v>
      </c>
      <c r="V159" s="28" t="s">
        <v>246</v>
      </c>
      <c r="W159" s="28" t="s">
        <v>285</v>
      </c>
      <c r="X159" s="28" t="s">
        <v>1223</v>
      </c>
      <c r="Y159" s="28" t="s">
        <v>755</v>
      </c>
      <c r="Z159" s="28" t="s">
        <v>755</v>
      </c>
      <c r="AA159" s="28" t="s">
        <v>755</v>
      </c>
      <c r="AB159" s="28" t="s">
        <v>755</v>
      </c>
      <c r="AC159" s="28" t="s">
        <v>756</v>
      </c>
      <c r="AD159" s="28" t="s">
        <v>752</v>
      </c>
    </row>
    <row r="160" spans="3:30" x14ac:dyDescent="0.25">
      <c r="C160" s="28" t="s">
        <v>239</v>
      </c>
      <c r="D160" s="28" t="s">
        <v>413</v>
      </c>
      <c r="E160" s="28" t="s">
        <v>160</v>
      </c>
      <c r="G160" s="28" t="s">
        <v>594</v>
      </c>
      <c r="K160" s="28" t="s">
        <v>160</v>
      </c>
      <c r="L160" s="28" t="s">
        <v>751</v>
      </c>
      <c r="M160" s="28" t="s">
        <v>265</v>
      </c>
      <c r="N160" s="28" t="s">
        <v>738</v>
      </c>
      <c r="O160" s="28" t="s">
        <v>729</v>
      </c>
      <c r="P160" s="28" t="s">
        <v>256</v>
      </c>
      <c r="R160" s="28" t="s">
        <v>1470</v>
      </c>
      <c r="S160" s="28" t="s">
        <v>289</v>
      </c>
      <c r="U160" s="28" t="s">
        <v>442</v>
      </c>
      <c r="V160" s="28" t="s">
        <v>256</v>
      </c>
      <c r="X160" s="28" t="s">
        <v>1223</v>
      </c>
      <c r="AC160" s="28" t="s">
        <v>757</v>
      </c>
    </row>
    <row r="161" spans="3:30" x14ac:dyDescent="0.25">
      <c r="C161" s="28" t="s">
        <v>239</v>
      </c>
      <c r="E161" s="28" t="s">
        <v>160</v>
      </c>
      <c r="F161" s="28" t="s">
        <v>486</v>
      </c>
      <c r="H161" s="28" t="s">
        <v>656</v>
      </c>
      <c r="I161" s="28" t="s">
        <v>750</v>
      </c>
      <c r="J161" s="28" t="s">
        <v>999</v>
      </c>
      <c r="M161" s="28" t="s">
        <v>266</v>
      </c>
      <c r="N161" s="28" t="s">
        <v>738</v>
      </c>
      <c r="O161" s="28" t="s">
        <v>730</v>
      </c>
      <c r="Q161" s="28" t="s">
        <v>212</v>
      </c>
      <c r="T161" s="28" t="s">
        <v>289</v>
      </c>
      <c r="W161" s="28" t="s">
        <v>418</v>
      </c>
      <c r="Y161" s="28" t="s">
        <v>756</v>
      </c>
      <c r="Z161" s="28" t="s">
        <v>756</v>
      </c>
      <c r="AA161" s="28" t="s">
        <v>756</v>
      </c>
      <c r="AB161" s="28" t="s">
        <v>756</v>
      </c>
      <c r="AD161" s="28" t="s">
        <v>753</v>
      </c>
    </row>
    <row r="162" spans="3:30" x14ac:dyDescent="0.25">
      <c r="C162" s="28" t="s">
        <v>239</v>
      </c>
      <c r="D162" s="28" t="s">
        <v>373</v>
      </c>
      <c r="E162" s="28" t="s">
        <v>160</v>
      </c>
      <c r="G162" s="28" t="s">
        <v>423</v>
      </c>
      <c r="K162" s="28" t="s">
        <v>1065</v>
      </c>
      <c r="L162" s="28" t="s">
        <v>703</v>
      </c>
      <c r="M162" s="28" t="s">
        <v>267</v>
      </c>
      <c r="N162" s="28" t="s">
        <v>738</v>
      </c>
      <c r="O162" s="28" t="s">
        <v>225</v>
      </c>
      <c r="P162" s="28" t="s">
        <v>254</v>
      </c>
      <c r="R162" s="28" t="s">
        <v>1470</v>
      </c>
      <c r="S162" s="28" t="s">
        <v>458</v>
      </c>
      <c r="U162" s="28" t="s">
        <v>422</v>
      </c>
      <c r="V162" s="28" t="s">
        <v>265</v>
      </c>
      <c r="X162" s="28" t="s">
        <v>502</v>
      </c>
      <c r="Y162" s="28" t="s">
        <v>757</v>
      </c>
      <c r="Z162" s="28" t="s">
        <v>757</v>
      </c>
      <c r="AA162" s="28" t="s">
        <v>757</v>
      </c>
      <c r="AB162" s="28" t="s">
        <v>757</v>
      </c>
      <c r="AC162" s="28" t="s">
        <v>1962</v>
      </c>
    </row>
    <row r="163" spans="3:30" x14ac:dyDescent="0.25">
      <c r="C163" s="28" t="s">
        <v>239</v>
      </c>
      <c r="E163" s="28" t="s">
        <v>160</v>
      </c>
      <c r="F163" s="28" t="s">
        <v>592</v>
      </c>
      <c r="H163" s="28" t="s">
        <v>653</v>
      </c>
      <c r="I163" s="28" t="s">
        <v>751</v>
      </c>
      <c r="J163" s="28" t="s">
        <v>243</v>
      </c>
      <c r="L163" s="28" t="s">
        <v>368</v>
      </c>
      <c r="M163" s="28" t="s">
        <v>268</v>
      </c>
      <c r="O163" s="28" t="s">
        <v>731</v>
      </c>
      <c r="P163" s="28" t="s">
        <v>255</v>
      </c>
      <c r="Q163" s="28" t="s">
        <v>160</v>
      </c>
      <c r="S163" s="28" t="s">
        <v>459</v>
      </c>
      <c r="T163" s="28" t="s">
        <v>458</v>
      </c>
      <c r="V163" s="28" t="s">
        <v>266</v>
      </c>
      <c r="W163" s="28" t="s">
        <v>1696</v>
      </c>
      <c r="X163" s="28" t="s">
        <v>502</v>
      </c>
      <c r="AD163" s="28" t="s">
        <v>754</v>
      </c>
    </row>
    <row r="164" spans="3:30" x14ac:dyDescent="0.25">
      <c r="C164" s="28" t="s">
        <v>239</v>
      </c>
      <c r="D164" s="28" t="s">
        <v>49</v>
      </c>
      <c r="E164" s="28" t="s">
        <v>160</v>
      </c>
      <c r="G164" s="28" t="s">
        <v>160</v>
      </c>
      <c r="K164" s="28" t="s">
        <v>160</v>
      </c>
      <c r="N164" s="28" t="s">
        <v>1154</v>
      </c>
      <c r="O164" s="28" t="s">
        <v>732</v>
      </c>
      <c r="R164" s="28" t="s">
        <v>1476</v>
      </c>
      <c r="S164" s="28" t="s">
        <v>460</v>
      </c>
      <c r="T164" s="28" t="s">
        <v>459</v>
      </c>
      <c r="U164" s="28" t="s">
        <v>442</v>
      </c>
      <c r="V164" s="28" t="s">
        <v>267</v>
      </c>
      <c r="X164" s="28" t="s">
        <v>1764</v>
      </c>
      <c r="Y164" s="28" t="s">
        <v>1873</v>
      </c>
      <c r="Z164" s="28" t="s">
        <v>1899</v>
      </c>
      <c r="AA164" s="28" t="s">
        <v>1938</v>
      </c>
      <c r="AB164" s="28" t="s">
        <v>1951</v>
      </c>
      <c r="AC164" s="28" t="s">
        <v>1972</v>
      </c>
      <c r="AD164" s="28" t="s">
        <v>755</v>
      </c>
    </row>
    <row r="165" spans="3:30" x14ac:dyDescent="0.25">
      <c r="C165" s="28" t="s">
        <v>239</v>
      </c>
      <c r="E165" s="28" t="s">
        <v>160</v>
      </c>
      <c r="F165" s="28" t="s">
        <v>593</v>
      </c>
      <c r="H165" s="28" t="s">
        <v>676</v>
      </c>
      <c r="I165" s="28" t="s">
        <v>703</v>
      </c>
      <c r="J165" s="28" t="s">
        <v>243</v>
      </c>
      <c r="L165" s="28" t="s">
        <v>752</v>
      </c>
      <c r="M165" s="28" t="s">
        <v>269</v>
      </c>
      <c r="O165" s="28" t="s">
        <v>731</v>
      </c>
      <c r="P165" s="28" t="s">
        <v>257</v>
      </c>
      <c r="Q165" s="28" t="s">
        <v>916</v>
      </c>
      <c r="S165" s="28" t="s">
        <v>461</v>
      </c>
      <c r="T165" s="28" t="s">
        <v>460</v>
      </c>
      <c r="V165" s="28" t="s">
        <v>268</v>
      </c>
      <c r="W165" s="28" t="s">
        <v>1462</v>
      </c>
      <c r="X165" s="28" t="s">
        <v>1765</v>
      </c>
    </row>
    <row r="166" spans="3:30" x14ac:dyDescent="0.25">
      <c r="C166" s="28" t="s">
        <v>239</v>
      </c>
      <c r="D166" s="28" t="s">
        <v>414</v>
      </c>
      <c r="E166" s="28" t="s">
        <v>160</v>
      </c>
      <c r="G166" s="28" t="s">
        <v>160</v>
      </c>
      <c r="H166" s="28" t="s">
        <v>677</v>
      </c>
      <c r="I166" s="28" t="s">
        <v>368</v>
      </c>
      <c r="K166" s="28" t="s">
        <v>1066</v>
      </c>
      <c r="M166" s="28" t="s">
        <v>270</v>
      </c>
      <c r="N166" s="28" t="s">
        <v>611</v>
      </c>
      <c r="O166" s="28" t="s">
        <v>732</v>
      </c>
      <c r="P166" s="28" t="s">
        <v>247</v>
      </c>
      <c r="R166" s="28" t="s">
        <v>442</v>
      </c>
      <c r="S166" s="28" t="s">
        <v>462</v>
      </c>
      <c r="T166" s="28" t="s">
        <v>461</v>
      </c>
      <c r="U166" s="28" t="s">
        <v>1598</v>
      </c>
      <c r="V166" s="28" t="s">
        <v>269</v>
      </c>
      <c r="Y166" s="28" t="s">
        <v>1881</v>
      </c>
      <c r="Z166" s="28" t="s">
        <v>1905</v>
      </c>
      <c r="AA166" s="28" t="s">
        <v>1944</v>
      </c>
      <c r="AB166" s="28" t="s">
        <v>1953</v>
      </c>
      <c r="AC166" s="28" t="s">
        <v>160</v>
      </c>
      <c r="AD166" s="28" t="s">
        <v>756</v>
      </c>
    </row>
    <row r="167" spans="3:30" x14ac:dyDescent="0.25">
      <c r="C167" s="28" t="s">
        <v>239</v>
      </c>
      <c r="E167" s="28" t="s">
        <v>160</v>
      </c>
      <c r="F167" s="28" t="s">
        <v>579</v>
      </c>
      <c r="G167" s="28" t="s">
        <v>160</v>
      </c>
      <c r="J167" s="28" t="s">
        <v>1000</v>
      </c>
      <c r="L167" s="28" t="s">
        <v>753</v>
      </c>
      <c r="M167" s="28" t="s">
        <v>268</v>
      </c>
      <c r="O167" s="28" t="s">
        <v>1290</v>
      </c>
      <c r="P167" s="28" t="s">
        <v>258</v>
      </c>
      <c r="Q167" s="28" t="s">
        <v>212</v>
      </c>
      <c r="R167" s="28" t="s">
        <v>212</v>
      </c>
      <c r="S167" s="28" t="s">
        <v>463</v>
      </c>
      <c r="T167" s="28" t="s">
        <v>462</v>
      </c>
      <c r="V167" s="28" t="s">
        <v>270</v>
      </c>
      <c r="W167" s="28" t="s">
        <v>1697</v>
      </c>
      <c r="X167" s="28" t="s">
        <v>212</v>
      </c>
      <c r="AD167" s="28" t="s">
        <v>757</v>
      </c>
    </row>
    <row r="168" spans="3:30" x14ac:dyDescent="0.25">
      <c r="C168" s="28" t="s">
        <v>239</v>
      </c>
      <c r="D168" s="28" t="s">
        <v>49</v>
      </c>
      <c r="E168" s="28" t="s">
        <v>160</v>
      </c>
      <c r="H168" s="28" t="s">
        <v>657</v>
      </c>
      <c r="I168" s="28" t="s">
        <v>752</v>
      </c>
      <c r="K168" s="28" t="s">
        <v>212</v>
      </c>
      <c r="M168" s="28" t="s">
        <v>267</v>
      </c>
      <c r="N168" s="28" t="s">
        <v>1155</v>
      </c>
      <c r="P168" s="28" t="s">
        <v>259</v>
      </c>
      <c r="S168" s="28" t="s">
        <v>464</v>
      </c>
      <c r="T168" s="28" t="s">
        <v>463</v>
      </c>
      <c r="U168" s="28" t="s">
        <v>212</v>
      </c>
      <c r="V168" s="28" t="s">
        <v>268</v>
      </c>
      <c r="Y168" s="28" t="s">
        <v>160</v>
      </c>
      <c r="Z168" s="28" t="s">
        <v>160</v>
      </c>
      <c r="AA168" s="28" t="s">
        <v>160</v>
      </c>
      <c r="AB168" s="28" t="s">
        <v>160</v>
      </c>
      <c r="AC168" s="28" t="s">
        <v>759</v>
      </c>
    </row>
    <row r="169" spans="3:30" x14ac:dyDescent="0.25">
      <c r="C169" s="28" t="s">
        <v>239</v>
      </c>
      <c r="E169" s="28" t="s">
        <v>160</v>
      </c>
      <c r="F169" s="28" t="s">
        <v>390</v>
      </c>
      <c r="G169" s="28" t="s">
        <v>545</v>
      </c>
      <c r="J169" s="28" t="s">
        <v>419</v>
      </c>
      <c r="L169" s="28" t="s">
        <v>754</v>
      </c>
      <c r="M169" s="28" t="s">
        <v>269</v>
      </c>
      <c r="O169" s="28" t="s">
        <v>734</v>
      </c>
      <c r="Q169" s="28" t="s">
        <v>1396</v>
      </c>
      <c r="R169" s="28" t="s">
        <v>243</v>
      </c>
      <c r="S169" s="28" t="s">
        <v>465</v>
      </c>
      <c r="T169" s="28" t="s">
        <v>464</v>
      </c>
      <c r="U169" s="28" t="s">
        <v>1599</v>
      </c>
      <c r="V169" s="28" t="s">
        <v>267</v>
      </c>
      <c r="W169" s="28" t="s">
        <v>1462</v>
      </c>
      <c r="X169" s="28" t="s">
        <v>1766</v>
      </c>
      <c r="AD169" s="28" t="s">
        <v>1959</v>
      </c>
    </row>
    <row r="170" spans="3:30" x14ac:dyDescent="0.25">
      <c r="C170" s="28" t="s">
        <v>239</v>
      </c>
      <c r="D170" s="28" t="s">
        <v>390</v>
      </c>
      <c r="E170" s="28" t="s">
        <v>160</v>
      </c>
      <c r="G170" s="28" t="s">
        <v>160</v>
      </c>
      <c r="H170" s="28" t="s">
        <v>678</v>
      </c>
      <c r="I170" s="28" t="s">
        <v>753</v>
      </c>
      <c r="J170" s="28" t="s">
        <v>422</v>
      </c>
      <c r="K170" s="28" t="s">
        <v>1067</v>
      </c>
      <c r="L170" s="28" t="s">
        <v>755</v>
      </c>
      <c r="M170" s="28" t="s">
        <v>265</v>
      </c>
      <c r="N170" s="28" t="s">
        <v>1185</v>
      </c>
      <c r="O170" s="28" t="s">
        <v>735</v>
      </c>
      <c r="P170" s="28" t="s">
        <v>247</v>
      </c>
      <c r="T170" s="28" t="s">
        <v>465</v>
      </c>
      <c r="U170" s="28" t="s">
        <v>212</v>
      </c>
      <c r="V170" s="28" t="s">
        <v>269</v>
      </c>
      <c r="X170" s="28" t="s">
        <v>1339</v>
      </c>
      <c r="Y170" s="28" t="s">
        <v>759</v>
      </c>
      <c r="Z170" s="28" t="s">
        <v>759</v>
      </c>
      <c r="AA170" s="28" t="s">
        <v>759</v>
      </c>
      <c r="AB170" s="28" t="s">
        <v>759</v>
      </c>
      <c r="AC170" s="28" t="s">
        <v>760</v>
      </c>
    </row>
    <row r="171" spans="3:30" x14ac:dyDescent="0.25">
      <c r="C171" s="28" t="s">
        <v>239</v>
      </c>
      <c r="D171" s="28" t="s">
        <v>415</v>
      </c>
      <c r="E171" s="28" t="s">
        <v>160</v>
      </c>
      <c r="F171" s="28" t="s">
        <v>411</v>
      </c>
      <c r="H171" s="28" t="s">
        <v>677</v>
      </c>
      <c r="J171" s="28" t="s">
        <v>160</v>
      </c>
      <c r="M171" s="28" t="s">
        <v>254</v>
      </c>
      <c r="O171" s="28" t="s">
        <v>736</v>
      </c>
      <c r="P171" s="28" t="s">
        <v>260</v>
      </c>
      <c r="Q171" s="28" t="s">
        <v>1398</v>
      </c>
      <c r="R171" s="28" t="s">
        <v>1477</v>
      </c>
      <c r="S171" s="28" t="s">
        <v>295</v>
      </c>
      <c r="U171" s="28" t="s">
        <v>1600</v>
      </c>
      <c r="W171" s="28" t="s">
        <v>1259</v>
      </c>
      <c r="X171" s="28" t="s">
        <v>1734</v>
      </c>
      <c r="AD171" s="28" t="s">
        <v>1973</v>
      </c>
    </row>
    <row r="172" spans="3:30" x14ac:dyDescent="0.25">
      <c r="E172" s="28" t="s">
        <v>160</v>
      </c>
      <c r="G172" s="28" t="s">
        <v>414</v>
      </c>
      <c r="I172" s="28" t="s">
        <v>754</v>
      </c>
      <c r="J172" s="28" t="s">
        <v>160</v>
      </c>
      <c r="K172" s="28" t="s">
        <v>674</v>
      </c>
      <c r="L172" s="28" t="s">
        <v>756</v>
      </c>
      <c r="N172" s="28" t="s">
        <v>1157</v>
      </c>
      <c r="O172" s="28" t="s">
        <v>737</v>
      </c>
      <c r="P172" s="28" t="s">
        <v>247</v>
      </c>
      <c r="T172" s="28" t="s">
        <v>295</v>
      </c>
      <c r="U172" s="28" t="s">
        <v>1601</v>
      </c>
      <c r="V172" s="28" t="s">
        <v>271</v>
      </c>
      <c r="X172" s="28" t="s">
        <v>1734</v>
      </c>
      <c r="Y172" s="28" t="s">
        <v>760</v>
      </c>
      <c r="Z172" s="28" t="s">
        <v>760</v>
      </c>
      <c r="AA172" s="28" t="s">
        <v>760</v>
      </c>
      <c r="AB172" s="28" t="s">
        <v>760</v>
      </c>
      <c r="AC172" s="28" t="s">
        <v>1966</v>
      </c>
    </row>
    <row r="173" spans="3:30" x14ac:dyDescent="0.25">
      <c r="C173" s="28" t="s">
        <v>240</v>
      </c>
      <c r="D173" s="28" t="s">
        <v>416</v>
      </c>
      <c r="E173" s="28" t="s">
        <v>160</v>
      </c>
      <c r="F173" s="28" t="s">
        <v>412</v>
      </c>
      <c r="H173" s="28" t="s">
        <v>653</v>
      </c>
      <c r="I173" s="28" t="s">
        <v>755</v>
      </c>
      <c r="L173" s="28" t="s">
        <v>757</v>
      </c>
      <c r="M173" s="28" t="s">
        <v>271</v>
      </c>
      <c r="O173" s="28" t="s">
        <v>736</v>
      </c>
      <c r="P173" s="28" t="s">
        <v>261</v>
      </c>
      <c r="Q173" s="28" t="s">
        <v>1400</v>
      </c>
      <c r="R173" s="28" t="s">
        <v>442</v>
      </c>
      <c r="S173" s="28" t="s">
        <v>303</v>
      </c>
      <c r="W173" s="28" t="s">
        <v>418</v>
      </c>
      <c r="AD173" s="28" t="s">
        <v>160</v>
      </c>
    </row>
    <row r="174" spans="3:30" x14ac:dyDescent="0.25">
      <c r="E174" s="28" t="s">
        <v>160</v>
      </c>
      <c r="F174" s="28" t="s">
        <v>413</v>
      </c>
      <c r="G174" s="28" t="s">
        <v>608</v>
      </c>
      <c r="J174" s="28" t="s">
        <v>422</v>
      </c>
      <c r="K174" s="28" t="s">
        <v>1068</v>
      </c>
      <c r="N174" s="28" t="s">
        <v>1186</v>
      </c>
      <c r="O174" s="28" t="s">
        <v>737</v>
      </c>
      <c r="P174" s="28" t="s">
        <v>254</v>
      </c>
      <c r="R174" s="28" t="s">
        <v>212</v>
      </c>
      <c r="T174" s="28" t="s">
        <v>303</v>
      </c>
      <c r="U174" s="28" t="s">
        <v>1574</v>
      </c>
      <c r="V174" s="28" t="s">
        <v>254</v>
      </c>
      <c r="X174" s="28" t="s">
        <v>212</v>
      </c>
      <c r="Y174" s="28" t="s">
        <v>1876</v>
      </c>
      <c r="Z174" s="28" t="s">
        <v>1903</v>
      </c>
      <c r="AA174" s="28" t="s">
        <v>1942</v>
      </c>
      <c r="AB174" s="28" t="s">
        <v>1942</v>
      </c>
      <c r="AC174" s="28" t="s">
        <v>1966</v>
      </c>
    </row>
    <row r="175" spans="3:30" x14ac:dyDescent="0.25">
      <c r="C175" s="28" t="s">
        <v>241</v>
      </c>
      <c r="D175" s="28" t="s">
        <v>373</v>
      </c>
      <c r="H175" s="28" t="s">
        <v>420</v>
      </c>
      <c r="I175" s="28" t="s">
        <v>756</v>
      </c>
      <c r="J175" s="28" t="s">
        <v>424</v>
      </c>
      <c r="L175" s="28" t="s">
        <v>1117</v>
      </c>
      <c r="M175" s="28" t="s">
        <v>273</v>
      </c>
      <c r="Q175" s="28" t="s">
        <v>442</v>
      </c>
      <c r="S175" s="28" t="s">
        <v>296</v>
      </c>
      <c r="W175" s="28" t="s">
        <v>422</v>
      </c>
      <c r="AD175" s="28" t="s">
        <v>759</v>
      </c>
    </row>
    <row r="176" spans="3:30" x14ac:dyDescent="0.25">
      <c r="E176" s="28" t="s">
        <v>370</v>
      </c>
      <c r="F176" s="28" t="s">
        <v>212</v>
      </c>
      <c r="G176" s="28" t="s">
        <v>49</v>
      </c>
      <c r="I176" s="28" t="s">
        <v>757</v>
      </c>
      <c r="J176" s="28" t="s">
        <v>160</v>
      </c>
      <c r="K176" s="28" t="s">
        <v>1051</v>
      </c>
      <c r="M176" s="28" t="s">
        <v>274</v>
      </c>
      <c r="N176" s="28" t="s">
        <v>952</v>
      </c>
      <c r="O176" s="28" t="s">
        <v>738</v>
      </c>
      <c r="P176" s="28" t="s">
        <v>262</v>
      </c>
      <c r="Q176" s="28" t="s">
        <v>212</v>
      </c>
      <c r="R176" s="28" t="s">
        <v>1462</v>
      </c>
      <c r="S176" s="28" t="s">
        <v>297</v>
      </c>
      <c r="T176" s="28" t="s">
        <v>296</v>
      </c>
      <c r="U176" s="28" t="s">
        <v>916</v>
      </c>
      <c r="V176" s="28" t="s">
        <v>272</v>
      </c>
      <c r="X176" s="28" t="s">
        <v>1767</v>
      </c>
      <c r="Y176" s="28" t="s">
        <v>1876</v>
      </c>
      <c r="Z176" s="28" t="s">
        <v>1903</v>
      </c>
      <c r="AA176" s="28" t="s">
        <v>1942</v>
      </c>
      <c r="AB176" s="28" t="s">
        <v>1942</v>
      </c>
      <c r="AC176" s="28" t="s">
        <v>1963</v>
      </c>
    </row>
    <row r="177" spans="3:30" x14ac:dyDescent="0.25">
      <c r="C177" s="28" t="s">
        <v>242</v>
      </c>
      <c r="D177" s="28" t="s">
        <v>417</v>
      </c>
      <c r="H177" s="28" t="s">
        <v>420</v>
      </c>
      <c r="J177" s="28" t="s">
        <v>160</v>
      </c>
      <c r="L177" s="28" t="s">
        <v>1124</v>
      </c>
      <c r="M177" s="28" t="s">
        <v>266</v>
      </c>
      <c r="N177" s="28" t="s">
        <v>740</v>
      </c>
      <c r="O177" s="28" t="s">
        <v>738</v>
      </c>
      <c r="S177" s="28" t="s">
        <v>466</v>
      </c>
      <c r="T177" s="28" t="s">
        <v>297</v>
      </c>
      <c r="V177" s="28" t="s">
        <v>273</v>
      </c>
      <c r="W177" s="28" t="s">
        <v>244</v>
      </c>
      <c r="AD177" s="28" t="s">
        <v>760</v>
      </c>
    </row>
    <row r="178" spans="3:30" x14ac:dyDescent="0.25">
      <c r="E178" s="28" t="s">
        <v>374</v>
      </c>
      <c r="F178" s="28" t="s">
        <v>49</v>
      </c>
      <c r="G178" s="28" t="s">
        <v>49</v>
      </c>
      <c r="I178" s="28" t="s">
        <v>949</v>
      </c>
      <c r="K178" s="28" t="s">
        <v>676</v>
      </c>
      <c r="M178" s="28" t="s">
        <v>275</v>
      </c>
      <c r="N178" s="28" t="s">
        <v>741</v>
      </c>
      <c r="O178" s="28" t="s">
        <v>738</v>
      </c>
      <c r="P178" s="28" t="s">
        <v>254</v>
      </c>
      <c r="Q178" s="28" t="s">
        <v>441</v>
      </c>
      <c r="R178" s="28" t="s">
        <v>1471</v>
      </c>
      <c r="S178" s="28" t="s">
        <v>467</v>
      </c>
      <c r="T178" s="28" t="s">
        <v>466</v>
      </c>
      <c r="U178" s="28" t="s">
        <v>1598</v>
      </c>
      <c r="V178" s="28" t="s">
        <v>274</v>
      </c>
      <c r="W178" s="28" t="s">
        <v>160</v>
      </c>
      <c r="X178" s="28" t="s">
        <v>1768</v>
      </c>
      <c r="Y178" s="28" t="s">
        <v>1873</v>
      </c>
      <c r="Z178" s="28" t="s">
        <v>1899</v>
      </c>
      <c r="AA178" s="28" t="s">
        <v>1938</v>
      </c>
      <c r="AB178" s="28" t="s">
        <v>1951</v>
      </c>
      <c r="AC178" s="28" t="s">
        <v>1962</v>
      </c>
    </row>
    <row r="179" spans="3:30" x14ac:dyDescent="0.25">
      <c r="C179" s="28" t="s">
        <v>243</v>
      </c>
      <c r="D179" s="28" t="s">
        <v>418</v>
      </c>
      <c r="E179" s="28" t="s">
        <v>375</v>
      </c>
      <c r="H179" s="28" t="s">
        <v>244</v>
      </c>
      <c r="J179" s="28" t="s">
        <v>987</v>
      </c>
      <c r="K179" s="28" t="s">
        <v>677</v>
      </c>
      <c r="L179" s="28" t="s">
        <v>160</v>
      </c>
      <c r="N179" s="28" t="s">
        <v>742</v>
      </c>
      <c r="O179" s="28" t="s">
        <v>738</v>
      </c>
      <c r="P179" s="28" t="s">
        <v>255</v>
      </c>
      <c r="S179" s="28" t="s">
        <v>468</v>
      </c>
      <c r="T179" s="28" t="s">
        <v>467</v>
      </c>
      <c r="V179" s="28" t="s">
        <v>266</v>
      </c>
      <c r="AD179" s="28" t="s">
        <v>1968</v>
      </c>
    </row>
    <row r="180" spans="3:30" x14ac:dyDescent="0.25">
      <c r="C180" s="28" t="s">
        <v>244</v>
      </c>
      <c r="E180" s="28" t="s">
        <v>376</v>
      </c>
      <c r="F180" s="28" t="s">
        <v>49</v>
      </c>
      <c r="G180" s="28" t="s">
        <v>212</v>
      </c>
      <c r="I180" s="28" t="s">
        <v>953</v>
      </c>
      <c r="K180" s="28" t="s">
        <v>864</v>
      </c>
      <c r="M180" s="28" t="s">
        <v>829</v>
      </c>
      <c r="N180" s="28" t="s">
        <v>743</v>
      </c>
      <c r="O180" s="28" t="s">
        <v>738</v>
      </c>
      <c r="P180" s="28" t="s">
        <v>263</v>
      </c>
      <c r="Q180" s="28" t="s">
        <v>1404</v>
      </c>
      <c r="R180" s="28" t="s">
        <v>419</v>
      </c>
      <c r="S180" s="28" t="s">
        <v>469</v>
      </c>
      <c r="T180" s="28" t="s">
        <v>468</v>
      </c>
      <c r="U180" s="28" t="s">
        <v>212</v>
      </c>
      <c r="V180" s="28" t="s">
        <v>275</v>
      </c>
      <c r="W180" s="28" t="s">
        <v>244</v>
      </c>
      <c r="X180" s="28" t="s">
        <v>1606</v>
      </c>
      <c r="Y180" s="28" t="s">
        <v>1882</v>
      </c>
      <c r="Z180" s="28" t="s">
        <v>1882</v>
      </c>
      <c r="AA180" s="28" t="s">
        <v>1882</v>
      </c>
      <c r="AB180" s="28" t="s">
        <v>1882</v>
      </c>
      <c r="AC180" s="28" t="s">
        <v>1882</v>
      </c>
    </row>
    <row r="181" spans="3:30" x14ac:dyDescent="0.25">
      <c r="D181" s="28" t="s">
        <v>212</v>
      </c>
      <c r="H181" s="28" t="s">
        <v>285</v>
      </c>
      <c r="J181" s="28" t="s">
        <v>661</v>
      </c>
      <c r="L181" s="28" t="s">
        <v>759</v>
      </c>
      <c r="N181" s="28" t="s">
        <v>744</v>
      </c>
      <c r="P181" s="28" t="s">
        <v>261</v>
      </c>
      <c r="R181" s="28" t="s">
        <v>212</v>
      </c>
      <c r="S181" s="28" t="s">
        <v>470</v>
      </c>
      <c r="T181" s="28" t="s">
        <v>469</v>
      </c>
      <c r="U181" s="28" t="s">
        <v>1599</v>
      </c>
      <c r="W181" s="28" t="s">
        <v>160</v>
      </c>
      <c r="AD181" s="28" t="s">
        <v>1968</v>
      </c>
    </row>
    <row r="182" spans="3:30" x14ac:dyDescent="0.25">
      <c r="C182" s="28" t="s">
        <v>215</v>
      </c>
      <c r="E182" s="28" t="s">
        <v>238</v>
      </c>
      <c r="F182" s="28" t="s">
        <v>585</v>
      </c>
      <c r="G182" s="28" t="s">
        <v>566</v>
      </c>
      <c r="I182" s="28" t="s">
        <v>160</v>
      </c>
      <c r="J182" s="28" t="s">
        <v>212</v>
      </c>
      <c r="K182" s="28" t="s">
        <v>285</v>
      </c>
      <c r="M182" s="28" t="s">
        <v>830</v>
      </c>
      <c r="O182" s="28" t="s">
        <v>1291</v>
      </c>
      <c r="P182" s="28" t="s">
        <v>245</v>
      </c>
      <c r="Q182" s="28" t="s">
        <v>1405</v>
      </c>
      <c r="S182" s="28" t="s">
        <v>471</v>
      </c>
      <c r="T182" s="28" t="s">
        <v>470</v>
      </c>
      <c r="U182" s="28" t="s">
        <v>212</v>
      </c>
      <c r="V182" s="28" t="s">
        <v>1604</v>
      </c>
      <c r="X182" s="28" t="s">
        <v>1769</v>
      </c>
      <c r="Y182" s="28" t="s">
        <v>1874</v>
      </c>
      <c r="Z182" s="28" t="s">
        <v>1900</v>
      </c>
      <c r="AA182" s="28" t="s">
        <v>545</v>
      </c>
      <c r="AB182" s="28" t="s">
        <v>545</v>
      </c>
      <c r="AC182" s="28" t="s">
        <v>1965</v>
      </c>
    </row>
    <row r="183" spans="3:30" x14ac:dyDescent="0.25">
      <c r="D183" s="28" t="s">
        <v>419</v>
      </c>
      <c r="H183" s="28" t="s">
        <v>679</v>
      </c>
      <c r="L183" s="28" t="s">
        <v>760</v>
      </c>
      <c r="M183" s="28" t="s">
        <v>831</v>
      </c>
      <c r="N183" s="28" t="s">
        <v>378</v>
      </c>
      <c r="P183" s="28" t="s">
        <v>264</v>
      </c>
      <c r="R183" s="28" t="s">
        <v>212</v>
      </c>
      <c r="S183" s="28" t="s">
        <v>472</v>
      </c>
      <c r="T183" s="28" t="s">
        <v>471</v>
      </c>
      <c r="U183" s="28" t="s">
        <v>1600</v>
      </c>
      <c r="W183" s="28" t="s">
        <v>422</v>
      </c>
      <c r="X183" s="28" t="s">
        <v>1770</v>
      </c>
      <c r="AA183" s="28" t="s">
        <v>422</v>
      </c>
      <c r="AB183" s="28" t="s">
        <v>422</v>
      </c>
      <c r="AD183" s="28" t="s">
        <v>1883</v>
      </c>
    </row>
    <row r="184" spans="3:30" x14ac:dyDescent="0.25">
      <c r="C184" s="28" t="s">
        <v>245</v>
      </c>
      <c r="D184" s="28" t="s">
        <v>420</v>
      </c>
      <c r="E184" s="28" t="s">
        <v>381</v>
      </c>
      <c r="F184" s="28" t="s">
        <v>423</v>
      </c>
      <c r="G184" s="28" t="s">
        <v>566</v>
      </c>
      <c r="I184" s="28" t="s">
        <v>759</v>
      </c>
      <c r="J184" s="28" t="s">
        <v>243</v>
      </c>
      <c r="K184" s="28" t="s">
        <v>1069</v>
      </c>
      <c r="N184" s="28" t="s">
        <v>745</v>
      </c>
      <c r="O184" s="28" t="s">
        <v>1292</v>
      </c>
      <c r="Q184" s="28" t="s">
        <v>1406</v>
      </c>
      <c r="S184" s="28" t="s">
        <v>1536</v>
      </c>
      <c r="T184" s="28" t="s">
        <v>472</v>
      </c>
      <c r="U184" s="28" t="s">
        <v>1601</v>
      </c>
      <c r="V184" s="28" t="s">
        <v>1605</v>
      </c>
      <c r="X184" s="28" t="s">
        <v>1771</v>
      </c>
      <c r="Y184" s="28" t="s">
        <v>967</v>
      </c>
      <c r="Z184" s="28" t="s">
        <v>244</v>
      </c>
      <c r="AA184" s="28" t="s">
        <v>212</v>
      </c>
      <c r="AB184" s="28" t="s">
        <v>212</v>
      </c>
      <c r="AC184" s="28" t="s">
        <v>1883</v>
      </c>
    </row>
    <row r="185" spans="3:30" x14ac:dyDescent="0.25">
      <c r="C185" s="28" t="s">
        <v>246</v>
      </c>
      <c r="E185" s="28" t="s">
        <v>382</v>
      </c>
      <c r="H185" s="28" t="s">
        <v>285</v>
      </c>
      <c r="L185" s="28" t="s">
        <v>1120</v>
      </c>
      <c r="M185" s="28" t="s">
        <v>832</v>
      </c>
      <c r="N185" s="28" t="s">
        <v>746</v>
      </c>
      <c r="P185" s="28" t="s">
        <v>255</v>
      </c>
      <c r="R185" s="28" t="s">
        <v>545</v>
      </c>
      <c r="T185" s="28" t="s">
        <v>1536</v>
      </c>
      <c r="W185" s="28" t="s">
        <v>916</v>
      </c>
      <c r="X185" s="28" t="s">
        <v>1772</v>
      </c>
      <c r="Z185" s="28" t="s">
        <v>212</v>
      </c>
      <c r="AD185" s="28" t="s">
        <v>1884</v>
      </c>
    </row>
    <row r="186" spans="3:30" x14ac:dyDescent="0.25">
      <c r="C186" s="28" t="s">
        <v>247</v>
      </c>
      <c r="D186" s="28" t="s">
        <v>419</v>
      </c>
      <c r="E186" s="28" t="s">
        <v>383</v>
      </c>
      <c r="F186" s="28" t="s">
        <v>414</v>
      </c>
      <c r="G186" s="28" t="s">
        <v>423</v>
      </c>
      <c r="I186" s="28" t="s">
        <v>760</v>
      </c>
      <c r="J186" s="28" t="s">
        <v>1001</v>
      </c>
      <c r="K186" s="28" t="s">
        <v>285</v>
      </c>
      <c r="M186" s="28" t="s">
        <v>833</v>
      </c>
      <c r="N186" s="28" t="s">
        <v>378</v>
      </c>
      <c r="O186" s="28" t="s">
        <v>692</v>
      </c>
      <c r="Q186" s="28" t="s">
        <v>160</v>
      </c>
      <c r="R186" s="28" t="s">
        <v>545</v>
      </c>
      <c r="S186" s="28" t="s">
        <v>304</v>
      </c>
      <c r="U186" s="28" t="s">
        <v>245</v>
      </c>
      <c r="V186" s="28" t="s">
        <v>1606</v>
      </c>
      <c r="X186" s="28" t="s">
        <v>1773</v>
      </c>
      <c r="Y186" s="28" t="s">
        <v>1883</v>
      </c>
      <c r="Z186" s="28" t="s">
        <v>212</v>
      </c>
      <c r="AA186" s="28" t="s">
        <v>1939</v>
      </c>
      <c r="AB186" s="28" t="s">
        <v>1952</v>
      </c>
      <c r="AC186" s="28" t="s">
        <v>1884</v>
      </c>
    </row>
    <row r="187" spans="3:30" x14ac:dyDescent="0.25">
      <c r="C187" s="28" t="s">
        <v>248</v>
      </c>
      <c r="D187" s="28" t="s">
        <v>285</v>
      </c>
      <c r="E187" s="28" t="s">
        <v>384</v>
      </c>
      <c r="H187" s="28" t="s">
        <v>545</v>
      </c>
      <c r="L187" s="28" t="s">
        <v>1120</v>
      </c>
      <c r="N187" s="28" t="s">
        <v>747</v>
      </c>
      <c r="O187" s="28" t="s">
        <v>696</v>
      </c>
      <c r="P187" s="28" t="s">
        <v>250</v>
      </c>
      <c r="R187" s="28" t="s">
        <v>160</v>
      </c>
      <c r="T187" s="28" t="s">
        <v>304</v>
      </c>
      <c r="U187" s="28" t="s">
        <v>246</v>
      </c>
      <c r="W187" s="28" t="s">
        <v>502</v>
      </c>
      <c r="X187" s="28" t="s">
        <v>1774</v>
      </c>
      <c r="Z187" s="28" t="s">
        <v>160</v>
      </c>
      <c r="AD187" s="28" t="s">
        <v>1959</v>
      </c>
    </row>
    <row r="188" spans="3:30" x14ac:dyDescent="0.25">
      <c r="C188" s="28" t="s">
        <v>245</v>
      </c>
      <c r="F188" s="28" t="s">
        <v>594</v>
      </c>
      <c r="G188" s="28" t="s">
        <v>255</v>
      </c>
      <c r="I188" s="28" t="s">
        <v>947</v>
      </c>
      <c r="J188" s="28" t="s">
        <v>991</v>
      </c>
      <c r="K188" s="28" t="s">
        <v>1059</v>
      </c>
      <c r="M188" s="28" t="s">
        <v>834</v>
      </c>
      <c r="P188" s="28" t="s">
        <v>261</v>
      </c>
      <c r="Q188" s="28" t="s">
        <v>243</v>
      </c>
      <c r="S188" s="28" t="s">
        <v>305</v>
      </c>
      <c r="U188" s="28" t="s">
        <v>247</v>
      </c>
      <c r="V188" s="28" t="s">
        <v>1607</v>
      </c>
      <c r="X188" s="28" t="s">
        <v>1775</v>
      </c>
      <c r="Y188" s="28" t="s">
        <v>1884</v>
      </c>
      <c r="AA188" s="28" t="s">
        <v>1883</v>
      </c>
      <c r="AB188" s="28" t="s">
        <v>1883</v>
      </c>
      <c r="AC188" s="28" t="s">
        <v>1962</v>
      </c>
    </row>
    <row r="189" spans="3:30" x14ac:dyDescent="0.25">
      <c r="C189" s="28" t="s">
        <v>249</v>
      </c>
      <c r="D189" s="28" t="s">
        <v>418</v>
      </c>
      <c r="E189" s="28" t="s">
        <v>211</v>
      </c>
      <c r="H189" s="28" t="s">
        <v>212</v>
      </c>
      <c r="L189" s="28" t="s">
        <v>1117</v>
      </c>
      <c r="M189" s="28" t="s">
        <v>835</v>
      </c>
      <c r="N189" s="28" t="s">
        <v>748</v>
      </c>
      <c r="O189" s="28" t="s">
        <v>694</v>
      </c>
      <c r="P189" s="28" t="s">
        <v>245</v>
      </c>
      <c r="Q189" s="28" t="s">
        <v>160</v>
      </c>
      <c r="R189" s="28" t="s">
        <v>244</v>
      </c>
      <c r="T189" s="28" t="s">
        <v>305</v>
      </c>
      <c r="U189" s="28" t="s">
        <v>248</v>
      </c>
      <c r="W189" s="28" t="s">
        <v>545</v>
      </c>
      <c r="Z189" s="28" t="s">
        <v>1906</v>
      </c>
      <c r="AD189" s="28" t="s">
        <v>452</v>
      </c>
    </row>
    <row r="190" spans="3:30" x14ac:dyDescent="0.25">
      <c r="C190" s="28" t="s">
        <v>247</v>
      </c>
      <c r="F190" s="28" t="s">
        <v>502</v>
      </c>
      <c r="G190" s="28" t="s">
        <v>243</v>
      </c>
      <c r="I190" s="28" t="s">
        <v>947</v>
      </c>
      <c r="J190" s="28" t="s">
        <v>243</v>
      </c>
      <c r="K190" s="28" t="s">
        <v>419</v>
      </c>
      <c r="N190" s="28" t="s">
        <v>749</v>
      </c>
      <c r="O190" s="28" t="s">
        <v>697</v>
      </c>
      <c r="P190" s="28" t="s">
        <v>263</v>
      </c>
      <c r="R190" s="28" t="s">
        <v>422</v>
      </c>
      <c r="S190" s="28" t="s">
        <v>306</v>
      </c>
      <c r="U190" s="28" t="s">
        <v>245</v>
      </c>
      <c r="V190" s="28" t="s">
        <v>1665</v>
      </c>
      <c r="X190" s="28" t="s">
        <v>378</v>
      </c>
      <c r="Y190" s="28" t="s">
        <v>1873</v>
      </c>
      <c r="AA190" s="28" t="s">
        <v>1884</v>
      </c>
      <c r="AB190" s="28" t="s">
        <v>1884</v>
      </c>
      <c r="AC190" s="28" t="s">
        <v>452</v>
      </c>
    </row>
    <row r="191" spans="3:30" x14ac:dyDescent="0.25">
      <c r="C191" s="28" t="s">
        <v>250</v>
      </c>
      <c r="D191" s="28" t="s">
        <v>421</v>
      </c>
      <c r="E191" s="28" t="s">
        <v>160</v>
      </c>
      <c r="G191" s="28" t="s">
        <v>212</v>
      </c>
      <c r="H191" s="28" t="s">
        <v>664</v>
      </c>
      <c r="K191" s="28" t="s">
        <v>212</v>
      </c>
      <c r="L191" s="28" t="s">
        <v>997</v>
      </c>
      <c r="M191" s="28" t="s">
        <v>836</v>
      </c>
      <c r="P191" s="28" t="s">
        <v>254</v>
      </c>
      <c r="Q191" s="28" t="s">
        <v>212</v>
      </c>
      <c r="R191" s="28" t="s">
        <v>419</v>
      </c>
      <c r="T191" s="28" t="s">
        <v>306</v>
      </c>
      <c r="U191" s="28" t="s">
        <v>249</v>
      </c>
      <c r="W191" s="28" t="s">
        <v>243</v>
      </c>
      <c r="X191" s="28" t="s">
        <v>378</v>
      </c>
      <c r="Z191" s="28" t="s">
        <v>1883</v>
      </c>
      <c r="AD191" s="28" t="s">
        <v>1885</v>
      </c>
    </row>
    <row r="192" spans="3:30" x14ac:dyDescent="0.25">
      <c r="C192" s="28" t="s">
        <v>251</v>
      </c>
      <c r="F192" s="28" t="s">
        <v>160</v>
      </c>
      <c r="G192" s="28" t="s">
        <v>285</v>
      </c>
      <c r="I192" s="28" t="s">
        <v>949</v>
      </c>
      <c r="J192" s="28" t="s">
        <v>1002</v>
      </c>
      <c r="N192" s="28" t="s">
        <v>750</v>
      </c>
      <c r="O192" s="28" t="s">
        <v>692</v>
      </c>
      <c r="P192" s="28" t="s">
        <v>253</v>
      </c>
      <c r="R192" s="28" t="s">
        <v>160</v>
      </c>
      <c r="S192" s="28" t="s">
        <v>1537</v>
      </c>
      <c r="U192" s="28" t="s">
        <v>247</v>
      </c>
      <c r="V192" s="28" t="s">
        <v>1666</v>
      </c>
      <c r="Y192" s="28" t="s">
        <v>452</v>
      </c>
      <c r="AA192" s="28" t="s">
        <v>1938</v>
      </c>
      <c r="AB192" s="28" t="s">
        <v>1951</v>
      </c>
      <c r="AC192" s="28" t="s">
        <v>1885</v>
      </c>
    </row>
    <row r="193" spans="3:30" x14ac:dyDescent="0.25">
      <c r="C193" s="28" t="s">
        <v>245</v>
      </c>
      <c r="D193" s="28" t="s">
        <v>215</v>
      </c>
      <c r="E193" s="28" t="s">
        <v>201</v>
      </c>
      <c r="F193" s="28" t="s">
        <v>160</v>
      </c>
      <c r="H193" s="28" t="s">
        <v>419</v>
      </c>
      <c r="K193" s="28" t="s">
        <v>424</v>
      </c>
      <c r="L193" s="28" t="s">
        <v>243</v>
      </c>
      <c r="M193" s="28" t="s">
        <v>837</v>
      </c>
      <c r="O193" s="28" t="s">
        <v>698</v>
      </c>
      <c r="Q193" s="28" t="s">
        <v>1406</v>
      </c>
      <c r="T193" s="28" t="s">
        <v>1537</v>
      </c>
      <c r="U193" s="28" t="s">
        <v>250</v>
      </c>
      <c r="W193" s="28" t="s">
        <v>1700</v>
      </c>
      <c r="X193" s="28" t="s">
        <v>378</v>
      </c>
      <c r="Z193" s="28" t="s">
        <v>1884</v>
      </c>
      <c r="AD193" s="28" t="s">
        <v>417</v>
      </c>
    </row>
    <row r="194" spans="3:30" x14ac:dyDescent="0.25">
      <c r="C194" s="28" t="s">
        <v>252</v>
      </c>
      <c r="G194" s="28" t="s">
        <v>419</v>
      </c>
      <c r="H194" s="28" t="s">
        <v>545</v>
      </c>
      <c r="I194" s="28" t="s">
        <v>954</v>
      </c>
      <c r="J194" s="28" t="s">
        <v>244</v>
      </c>
      <c r="N194" s="28" t="s">
        <v>751</v>
      </c>
      <c r="O194" s="28" t="s">
        <v>699</v>
      </c>
      <c r="P194" s="28" t="s">
        <v>254</v>
      </c>
      <c r="R194" s="28" t="s">
        <v>212</v>
      </c>
      <c r="S194" s="28" t="s">
        <v>311</v>
      </c>
      <c r="U194" s="28" t="s">
        <v>251</v>
      </c>
      <c r="V194" s="28" t="s">
        <v>160</v>
      </c>
      <c r="W194" s="28" t="s">
        <v>1688</v>
      </c>
      <c r="Y194" s="28" t="s">
        <v>1885</v>
      </c>
      <c r="AA194" s="28" t="s">
        <v>452</v>
      </c>
      <c r="AB194" s="28" t="s">
        <v>452</v>
      </c>
      <c r="AC194" s="28" t="s">
        <v>417</v>
      </c>
    </row>
    <row r="195" spans="3:30" x14ac:dyDescent="0.25">
      <c r="D195" s="28" t="s">
        <v>255</v>
      </c>
      <c r="E195" s="28" t="s">
        <v>217</v>
      </c>
      <c r="F195" s="28" t="s">
        <v>545</v>
      </c>
      <c r="G195" s="28" t="s">
        <v>285</v>
      </c>
      <c r="K195" s="28" t="s">
        <v>1070</v>
      </c>
      <c r="L195" s="28" t="s">
        <v>764</v>
      </c>
      <c r="M195" s="28" t="s">
        <v>838</v>
      </c>
      <c r="O195" s="28" t="s">
        <v>700</v>
      </c>
      <c r="P195" s="28" t="s">
        <v>255</v>
      </c>
      <c r="Q195" s="28" t="s">
        <v>1405</v>
      </c>
      <c r="S195" s="28" t="s">
        <v>309</v>
      </c>
      <c r="T195" s="28" t="s">
        <v>311</v>
      </c>
      <c r="U195" s="28" t="s">
        <v>245</v>
      </c>
      <c r="X195" s="28" t="s">
        <v>1776</v>
      </c>
      <c r="Z195" s="28" t="s">
        <v>1899</v>
      </c>
      <c r="AD195" s="28" t="s">
        <v>809</v>
      </c>
    </row>
    <row r="196" spans="3:30" x14ac:dyDescent="0.25">
      <c r="C196" s="28" t="s">
        <v>253</v>
      </c>
      <c r="F196" s="28" t="s">
        <v>160</v>
      </c>
      <c r="H196" s="28" t="s">
        <v>667</v>
      </c>
      <c r="I196" s="28" t="s">
        <v>950</v>
      </c>
      <c r="J196" s="28" t="s">
        <v>212</v>
      </c>
      <c r="N196" s="28" t="s">
        <v>703</v>
      </c>
      <c r="P196" s="28" t="s">
        <v>248</v>
      </c>
      <c r="R196" s="28" t="s">
        <v>1262</v>
      </c>
      <c r="T196" s="28" t="s">
        <v>309</v>
      </c>
      <c r="U196" s="28" t="s">
        <v>252</v>
      </c>
      <c r="V196" s="28" t="s">
        <v>1610</v>
      </c>
      <c r="W196" s="28" t="s">
        <v>919</v>
      </c>
      <c r="Y196" s="28" t="s">
        <v>417</v>
      </c>
      <c r="AA196" s="28" t="s">
        <v>1885</v>
      </c>
      <c r="AB196" s="28" t="s">
        <v>1885</v>
      </c>
      <c r="AC196" s="28" t="s">
        <v>809</v>
      </c>
      <c r="AD196" s="28" t="s">
        <v>810</v>
      </c>
    </row>
    <row r="197" spans="3:30" x14ac:dyDescent="0.25">
      <c r="D197" s="28" t="s">
        <v>243</v>
      </c>
      <c r="E197" s="28" t="s">
        <v>487</v>
      </c>
      <c r="G197" s="28" t="s">
        <v>255</v>
      </c>
      <c r="K197" s="28" t="s">
        <v>285</v>
      </c>
      <c r="L197" s="28" t="s">
        <v>1118</v>
      </c>
      <c r="M197" s="28" t="s">
        <v>839</v>
      </c>
      <c r="N197" s="28" t="s">
        <v>368</v>
      </c>
      <c r="O197" s="28" t="s">
        <v>701</v>
      </c>
      <c r="P197" s="28" t="s">
        <v>246</v>
      </c>
      <c r="Q197" s="28" t="s">
        <v>285</v>
      </c>
      <c r="S197" s="28" t="s">
        <v>316</v>
      </c>
      <c r="V197" s="28" t="s">
        <v>1611</v>
      </c>
      <c r="W197" s="28" t="s">
        <v>1264</v>
      </c>
      <c r="X197" s="28" t="s">
        <v>1777</v>
      </c>
      <c r="Z197" s="28" t="s">
        <v>452</v>
      </c>
      <c r="AC197" s="28" t="s">
        <v>810</v>
      </c>
      <c r="AD197" s="28" t="s">
        <v>811</v>
      </c>
    </row>
    <row r="198" spans="3:30" x14ac:dyDescent="0.25">
      <c r="C198" s="28" t="s">
        <v>254</v>
      </c>
      <c r="D198" s="28" t="s">
        <v>422</v>
      </c>
      <c r="E198" s="28" t="s">
        <v>488</v>
      </c>
      <c r="F198" s="28" t="s">
        <v>160</v>
      </c>
      <c r="H198" s="28" t="s">
        <v>285</v>
      </c>
      <c r="I198" s="28" t="s">
        <v>420</v>
      </c>
      <c r="J198" s="28" t="s">
        <v>160</v>
      </c>
      <c r="M198" s="28" t="s">
        <v>840</v>
      </c>
      <c r="P198" s="28" t="s">
        <v>256</v>
      </c>
      <c r="R198" s="28" t="s">
        <v>1478</v>
      </c>
      <c r="S198" s="28" t="s">
        <v>319</v>
      </c>
      <c r="T198" s="28" t="s">
        <v>316</v>
      </c>
      <c r="U198" s="28" t="s">
        <v>253</v>
      </c>
      <c r="V198" s="28" t="s">
        <v>1612</v>
      </c>
      <c r="Y198" s="28" t="s">
        <v>809</v>
      </c>
      <c r="AA198" s="28" t="s">
        <v>417</v>
      </c>
      <c r="AB198" s="28" t="s">
        <v>417</v>
      </c>
      <c r="AC198" s="28" t="s">
        <v>811</v>
      </c>
      <c r="AD198" s="28" t="s">
        <v>812</v>
      </c>
    </row>
    <row r="199" spans="3:30" x14ac:dyDescent="0.25">
      <c r="C199" s="28" t="s">
        <v>255</v>
      </c>
      <c r="D199" s="28" t="s">
        <v>420</v>
      </c>
      <c r="E199" s="28" t="s">
        <v>488</v>
      </c>
      <c r="G199" s="28" t="s">
        <v>243</v>
      </c>
      <c r="I199" s="28" t="s">
        <v>424</v>
      </c>
      <c r="K199" s="28" t="s">
        <v>1056</v>
      </c>
      <c r="L199" s="28" t="s">
        <v>419</v>
      </c>
      <c r="N199" s="28" t="s">
        <v>752</v>
      </c>
      <c r="O199" s="28" t="s">
        <v>702</v>
      </c>
      <c r="Q199" s="28" t="s">
        <v>285</v>
      </c>
      <c r="S199" s="28" t="s">
        <v>317</v>
      </c>
      <c r="T199" s="28" t="s">
        <v>319</v>
      </c>
      <c r="V199" s="28" t="s">
        <v>1613</v>
      </c>
      <c r="W199" s="28" t="s">
        <v>1678</v>
      </c>
      <c r="X199" s="28" t="s">
        <v>1778</v>
      </c>
      <c r="Y199" s="28" t="s">
        <v>810</v>
      </c>
      <c r="Z199" s="28" t="s">
        <v>1885</v>
      </c>
      <c r="AC199" s="28" t="s">
        <v>812</v>
      </c>
      <c r="AD199" s="28" t="s">
        <v>809</v>
      </c>
    </row>
    <row r="200" spans="3:30" x14ac:dyDescent="0.25">
      <c r="C200" s="28" t="s">
        <v>248</v>
      </c>
      <c r="E200" s="28" t="s">
        <v>488</v>
      </c>
      <c r="F200" s="28" t="s">
        <v>595</v>
      </c>
      <c r="G200" s="28" t="s">
        <v>212</v>
      </c>
      <c r="H200" s="28" t="s">
        <v>680</v>
      </c>
      <c r="I200" s="28" t="s">
        <v>243</v>
      </c>
      <c r="J200" s="28" t="s">
        <v>417</v>
      </c>
      <c r="L200" s="28" t="s">
        <v>160</v>
      </c>
      <c r="M200" s="28" t="s">
        <v>841</v>
      </c>
      <c r="P200" s="28" t="s">
        <v>265</v>
      </c>
      <c r="R200" s="28" t="s">
        <v>1479</v>
      </c>
      <c r="T200" s="28" t="s">
        <v>317</v>
      </c>
      <c r="U200" s="28" t="s">
        <v>254</v>
      </c>
      <c r="V200" s="28" t="s">
        <v>1614</v>
      </c>
      <c r="Y200" s="28" t="s">
        <v>811</v>
      </c>
      <c r="AA200" s="28" t="s">
        <v>809</v>
      </c>
      <c r="AB200" s="28" t="s">
        <v>809</v>
      </c>
      <c r="AC200" s="28" t="s">
        <v>809</v>
      </c>
      <c r="AD200" s="28" t="s">
        <v>813</v>
      </c>
    </row>
    <row r="201" spans="3:30" x14ac:dyDescent="0.25">
      <c r="C201" s="28" t="s">
        <v>246</v>
      </c>
      <c r="D201" s="28" t="s">
        <v>419</v>
      </c>
      <c r="E201" s="28" t="s">
        <v>219</v>
      </c>
      <c r="G201" s="28" t="s">
        <v>285</v>
      </c>
      <c r="J201" s="28" t="s">
        <v>243</v>
      </c>
      <c r="K201" s="28" t="s">
        <v>1065</v>
      </c>
      <c r="L201" s="28" t="s">
        <v>424</v>
      </c>
      <c r="M201" s="28" t="s">
        <v>842</v>
      </c>
      <c r="N201" s="28" t="s">
        <v>753</v>
      </c>
      <c r="O201" s="28" t="s">
        <v>952</v>
      </c>
      <c r="P201" s="28" t="s">
        <v>266</v>
      </c>
      <c r="Q201" s="28" t="s">
        <v>1270</v>
      </c>
      <c r="S201" s="28" t="s">
        <v>313</v>
      </c>
      <c r="U201" s="28" t="s">
        <v>255</v>
      </c>
      <c r="V201" s="28" t="s">
        <v>1615</v>
      </c>
      <c r="W201" s="28" t="s">
        <v>419</v>
      </c>
      <c r="X201" s="28" t="s">
        <v>1779</v>
      </c>
      <c r="Y201" s="28" t="s">
        <v>812</v>
      </c>
      <c r="Z201" s="28" t="s">
        <v>417</v>
      </c>
      <c r="AA201" s="28" t="s">
        <v>810</v>
      </c>
      <c r="AB201" s="28" t="s">
        <v>810</v>
      </c>
      <c r="AC201" s="28" t="s">
        <v>813</v>
      </c>
      <c r="AD201" s="28" t="s">
        <v>811</v>
      </c>
    </row>
    <row r="202" spans="3:30" x14ac:dyDescent="0.25">
      <c r="C202" s="28" t="s">
        <v>256</v>
      </c>
      <c r="D202" s="28" t="s">
        <v>285</v>
      </c>
      <c r="E202" s="28" t="s">
        <v>219</v>
      </c>
      <c r="F202" s="28" t="s">
        <v>423</v>
      </c>
      <c r="H202" s="28" t="s">
        <v>285</v>
      </c>
      <c r="I202" s="28" t="s">
        <v>243</v>
      </c>
      <c r="L202" s="28" t="s">
        <v>160</v>
      </c>
      <c r="O202" s="28" t="s">
        <v>740</v>
      </c>
      <c r="P202" s="28" t="s">
        <v>267</v>
      </c>
      <c r="R202" s="28" t="s">
        <v>1476</v>
      </c>
      <c r="S202" s="28" t="s">
        <v>314</v>
      </c>
      <c r="T202" s="28" t="s">
        <v>313</v>
      </c>
      <c r="U202" s="28" t="s">
        <v>248</v>
      </c>
      <c r="V202" s="28" t="s">
        <v>1616</v>
      </c>
      <c r="W202" s="28" t="s">
        <v>419</v>
      </c>
      <c r="Y202" s="28" t="s">
        <v>809</v>
      </c>
      <c r="AA202" s="28" t="s">
        <v>811</v>
      </c>
      <c r="AB202" s="28" t="s">
        <v>811</v>
      </c>
      <c r="AC202" s="28" t="s">
        <v>811</v>
      </c>
      <c r="AD202" s="28" t="s">
        <v>814</v>
      </c>
    </row>
    <row r="203" spans="3:30" x14ac:dyDescent="0.25">
      <c r="C203" s="28" t="s">
        <v>254</v>
      </c>
      <c r="E203" s="28" t="s">
        <v>219</v>
      </c>
      <c r="G203" s="28" t="s">
        <v>160</v>
      </c>
      <c r="I203" s="28" t="s">
        <v>420</v>
      </c>
      <c r="J203" s="28" t="s">
        <v>768</v>
      </c>
      <c r="K203" s="28" t="s">
        <v>424</v>
      </c>
      <c r="M203" s="28" t="s">
        <v>849</v>
      </c>
      <c r="N203" s="28" t="s">
        <v>754</v>
      </c>
      <c r="O203" s="28" t="s">
        <v>741</v>
      </c>
      <c r="P203" s="28" t="s">
        <v>268</v>
      </c>
      <c r="Q203" s="28" t="s">
        <v>244</v>
      </c>
      <c r="T203" s="28" t="s">
        <v>314</v>
      </c>
      <c r="U203" s="28" t="s">
        <v>246</v>
      </c>
      <c r="V203" s="28" t="s">
        <v>1617</v>
      </c>
      <c r="W203" s="28" t="s">
        <v>160</v>
      </c>
      <c r="X203" s="28" t="s">
        <v>326</v>
      </c>
      <c r="Y203" s="28" t="s">
        <v>813</v>
      </c>
      <c r="Z203" s="28" t="s">
        <v>809</v>
      </c>
      <c r="AA203" s="28" t="s">
        <v>812</v>
      </c>
      <c r="AB203" s="28" t="s">
        <v>812</v>
      </c>
      <c r="AC203" s="28" t="s">
        <v>814</v>
      </c>
      <c r="AD203" s="28" t="s">
        <v>815</v>
      </c>
    </row>
    <row r="204" spans="3:30" x14ac:dyDescent="0.25">
      <c r="C204" s="28" t="s">
        <v>255</v>
      </c>
      <c r="D204" s="28" t="s">
        <v>255</v>
      </c>
      <c r="E204" s="28" t="s">
        <v>219</v>
      </c>
      <c r="F204" s="28" t="s">
        <v>502</v>
      </c>
      <c r="H204" s="28" t="s">
        <v>285</v>
      </c>
      <c r="I204" s="28" t="s">
        <v>424</v>
      </c>
      <c r="K204" s="28" t="s">
        <v>212</v>
      </c>
      <c r="L204" s="28" t="s">
        <v>762</v>
      </c>
      <c r="M204" s="28" t="s">
        <v>850</v>
      </c>
      <c r="N204" s="28" t="s">
        <v>755</v>
      </c>
      <c r="O204" s="28" t="s">
        <v>742</v>
      </c>
      <c r="R204" s="28" t="s">
        <v>1478</v>
      </c>
      <c r="S204" s="28" t="s">
        <v>315</v>
      </c>
      <c r="U204" s="28" t="s">
        <v>256</v>
      </c>
      <c r="V204" s="28" t="s">
        <v>1618</v>
      </c>
      <c r="X204" s="28" t="s">
        <v>1635</v>
      </c>
      <c r="Y204" s="28" t="s">
        <v>811</v>
      </c>
      <c r="Z204" s="28" t="s">
        <v>810</v>
      </c>
      <c r="AA204" s="28" t="s">
        <v>809</v>
      </c>
      <c r="AB204" s="28" t="s">
        <v>809</v>
      </c>
      <c r="AC204" s="28" t="s">
        <v>815</v>
      </c>
      <c r="AD204" s="28" t="s">
        <v>809</v>
      </c>
    </row>
    <row r="205" spans="3:30" x14ac:dyDescent="0.25">
      <c r="C205" s="28" t="s">
        <v>257</v>
      </c>
      <c r="E205" s="28" t="s">
        <v>219</v>
      </c>
      <c r="G205" s="28" t="s">
        <v>160</v>
      </c>
      <c r="J205" s="28" t="s">
        <v>987</v>
      </c>
      <c r="L205" s="28" t="s">
        <v>763</v>
      </c>
      <c r="M205" s="28" t="s">
        <v>1138</v>
      </c>
      <c r="O205" s="28" t="s">
        <v>743</v>
      </c>
      <c r="P205" s="28" t="s">
        <v>269</v>
      </c>
      <c r="Q205" s="28" t="s">
        <v>1407</v>
      </c>
      <c r="T205" s="28" t="s">
        <v>315</v>
      </c>
      <c r="U205" s="28" t="s">
        <v>254</v>
      </c>
      <c r="V205" s="28" t="s">
        <v>1619</v>
      </c>
      <c r="W205" s="28" t="s">
        <v>1701</v>
      </c>
      <c r="Y205" s="28" t="s">
        <v>814</v>
      </c>
      <c r="Z205" s="28" t="s">
        <v>811</v>
      </c>
      <c r="AA205" s="28" t="s">
        <v>813</v>
      </c>
      <c r="AB205" s="28" t="s">
        <v>813</v>
      </c>
      <c r="AC205" s="28" t="s">
        <v>809</v>
      </c>
      <c r="AD205" s="28" t="s">
        <v>816</v>
      </c>
    </row>
    <row r="206" spans="3:30" x14ac:dyDescent="0.25">
      <c r="C206" s="28" t="s">
        <v>247</v>
      </c>
      <c r="D206" s="28" t="s">
        <v>243</v>
      </c>
      <c r="E206" s="28" t="s">
        <v>219</v>
      </c>
      <c r="F206" s="28" t="s">
        <v>416</v>
      </c>
      <c r="H206" s="28" t="s">
        <v>681</v>
      </c>
      <c r="I206" s="28" t="s">
        <v>955</v>
      </c>
      <c r="K206" s="28" t="s">
        <v>212</v>
      </c>
      <c r="M206" s="28" t="s">
        <v>1139</v>
      </c>
      <c r="N206" s="28" t="s">
        <v>756</v>
      </c>
      <c r="O206" s="28" t="s">
        <v>744</v>
      </c>
      <c r="P206" s="28" t="s">
        <v>270</v>
      </c>
      <c r="R206" s="28" t="s">
        <v>1475</v>
      </c>
      <c r="S206" s="28" t="s">
        <v>1538</v>
      </c>
      <c r="U206" s="28" t="s">
        <v>255</v>
      </c>
      <c r="X206" s="28" t="s">
        <v>43</v>
      </c>
      <c r="Y206" s="28" t="s">
        <v>815</v>
      </c>
      <c r="Z206" s="28" t="s">
        <v>812</v>
      </c>
      <c r="AA206" s="28" t="s">
        <v>811</v>
      </c>
      <c r="AB206" s="28" t="s">
        <v>811</v>
      </c>
      <c r="AC206" s="28" t="s">
        <v>816</v>
      </c>
    </row>
    <row r="207" spans="3:30" x14ac:dyDescent="0.25">
      <c r="C207" s="28" t="s">
        <v>258</v>
      </c>
      <c r="D207" s="28" t="s">
        <v>422</v>
      </c>
      <c r="E207" s="28" t="s">
        <v>219</v>
      </c>
      <c r="G207" s="28" t="s">
        <v>212</v>
      </c>
      <c r="J207" s="28" t="s">
        <v>243</v>
      </c>
      <c r="L207" s="28" t="s">
        <v>1117</v>
      </c>
      <c r="M207" s="28" t="s">
        <v>1140</v>
      </c>
      <c r="N207" s="28" t="s">
        <v>757</v>
      </c>
      <c r="P207" s="28" t="s">
        <v>268</v>
      </c>
      <c r="Q207" s="28" t="s">
        <v>1403</v>
      </c>
      <c r="T207" s="28" t="s">
        <v>1538</v>
      </c>
      <c r="U207" s="28" t="s">
        <v>257</v>
      </c>
      <c r="V207" s="28" t="s">
        <v>1620</v>
      </c>
      <c r="W207" s="28" t="s">
        <v>1702</v>
      </c>
      <c r="Y207" s="28" t="s">
        <v>809</v>
      </c>
      <c r="Z207" s="28" t="s">
        <v>809</v>
      </c>
      <c r="AA207" s="28" t="s">
        <v>814</v>
      </c>
      <c r="AB207" s="28" t="s">
        <v>814</v>
      </c>
      <c r="AD207" s="28" t="s">
        <v>909</v>
      </c>
    </row>
    <row r="208" spans="3:30" x14ac:dyDescent="0.25">
      <c r="C208" s="28" t="s">
        <v>259</v>
      </c>
      <c r="D208" s="28" t="s">
        <v>420</v>
      </c>
      <c r="E208" s="28" t="s">
        <v>219</v>
      </c>
      <c r="F208" s="28" t="s">
        <v>390</v>
      </c>
      <c r="H208" s="28" t="s">
        <v>424</v>
      </c>
      <c r="I208" s="28" t="s">
        <v>956</v>
      </c>
      <c r="J208" s="28" t="s">
        <v>417</v>
      </c>
      <c r="K208" s="28" t="s">
        <v>1071</v>
      </c>
      <c r="O208" s="28" t="s">
        <v>378</v>
      </c>
      <c r="P208" s="28" t="s">
        <v>267</v>
      </c>
      <c r="R208" s="28" t="s">
        <v>212</v>
      </c>
      <c r="S208" s="28" t="s">
        <v>1539</v>
      </c>
      <c r="U208" s="28" t="s">
        <v>247</v>
      </c>
      <c r="X208" s="28" t="s">
        <v>43</v>
      </c>
      <c r="Y208" s="28" t="s">
        <v>816</v>
      </c>
      <c r="Z208" s="28" t="s">
        <v>813</v>
      </c>
      <c r="AA208" s="28" t="s">
        <v>815</v>
      </c>
      <c r="AB208" s="28" t="s">
        <v>815</v>
      </c>
      <c r="AC208" s="28" t="s">
        <v>909</v>
      </c>
      <c r="AD208" s="28" t="s">
        <v>910</v>
      </c>
    </row>
    <row r="209" spans="3:30" x14ac:dyDescent="0.25">
      <c r="E209" s="28" t="s">
        <v>219</v>
      </c>
      <c r="G209" s="28" t="s">
        <v>212</v>
      </c>
      <c r="H209" s="28" t="s">
        <v>420</v>
      </c>
      <c r="L209" s="28" t="s">
        <v>275</v>
      </c>
      <c r="M209" s="28" t="s">
        <v>1135</v>
      </c>
      <c r="N209" s="28" t="s">
        <v>1168</v>
      </c>
      <c r="O209" s="28" t="s">
        <v>745</v>
      </c>
      <c r="P209" s="28" t="s">
        <v>269</v>
      </c>
      <c r="Q209" s="28" t="s">
        <v>678</v>
      </c>
      <c r="T209" s="28" t="s">
        <v>1539</v>
      </c>
      <c r="U209" s="28" t="s">
        <v>258</v>
      </c>
      <c r="V209" s="28" t="s">
        <v>1621</v>
      </c>
      <c r="W209" s="28" t="s">
        <v>1259</v>
      </c>
      <c r="Z209" s="28" t="s">
        <v>811</v>
      </c>
      <c r="AA209" s="28" t="s">
        <v>809</v>
      </c>
      <c r="AB209" s="28" t="s">
        <v>809</v>
      </c>
      <c r="AC209" s="28" t="s">
        <v>910</v>
      </c>
    </row>
    <row r="210" spans="3:30" x14ac:dyDescent="0.25">
      <c r="C210" s="28" t="s">
        <v>247</v>
      </c>
      <c r="D210" s="28" t="s">
        <v>212</v>
      </c>
      <c r="E210" s="28" t="s">
        <v>219</v>
      </c>
      <c r="F210" s="28" t="s">
        <v>596</v>
      </c>
      <c r="I210" s="28" t="s">
        <v>955</v>
      </c>
      <c r="J210" s="28" t="s">
        <v>1003</v>
      </c>
      <c r="K210" s="28" t="s">
        <v>678</v>
      </c>
      <c r="M210" s="28" t="s">
        <v>1135</v>
      </c>
      <c r="O210" s="28" t="s">
        <v>746</v>
      </c>
      <c r="P210" s="28" t="s">
        <v>265</v>
      </c>
      <c r="R210" s="28" t="s">
        <v>212</v>
      </c>
      <c r="S210" s="28" t="s">
        <v>1540</v>
      </c>
      <c r="U210" s="28" t="s">
        <v>259</v>
      </c>
      <c r="V210" s="28" t="s">
        <v>1622</v>
      </c>
      <c r="X210" s="28" t="s">
        <v>1725</v>
      </c>
      <c r="Y210" s="28" t="s">
        <v>909</v>
      </c>
      <c r="Z210" s="28" t="s">
        <v>814</v>
      </c>
      <c r="AA210" s="28" t="s">
        <v>816</v>
      </c>
      <c r="AB210" s="28" t="s">
        <v>816</v>
      </c>
      <c r="AD210" s="28" t="s">
        <v>810</v>
      </c>
    </row>
    <row r="211" spans="3:30" x14ac:dyDescent="0.25">
      <c r="C211" s="28" t="s">
        <v>260</v>
      </c>
      <c r="E211" s="28" t="s">
        <v>219</v>
      </c>
      <c r="G211" s="28" t="s">
        <v>215</v>
      </c>
      <c r="H211" s="28" t="s">
        <v>669</v>
      </c>
      <c r="J211" s="28" t="s">
        <v>1004</v>
      </c>
      <c r="K211" s="28" t="s">
        <v>677</v>
      </c>
      <c r="L211" s="28" t="s">
        <v>764</v>
      </c>
      <c r="M211" s="28" t="s">
        <v>1135</v>
      </c>
      <c r="N211" s="28" t="s">
        <v>1187</v>
      </c>
      <c r="O211" s="28" t="s">
        <v>378</v>
      </c>
      <c r="P211" s="28" t="s">
        <v>254</v>
      </c>
      <c r="Q211" s="28" t="s">
        <v>954</v>
      </c>
      <c r="T211" s="28" t="s">
        <v>1540</v>
      </c>
      <c r="V211" s="28" t="s">
        <v>1623</v>
      </c>
      <c r="W211" s="28" t="s">
        <v>1703</v>
      </c>
      <c r="Y211" s="28" t="s">
        <v>910</v>
      </c>
      <c r="Z211" s="28" t="s">
        <v>815</v>
      </c>
      <c r="AC211" s="28" t="s">
        <v>810</v>
      </c>
    </row>
    <row r="212" spans="3:30" x14ac:dyDescent="0.25">
      <c r="C212" s="28" t="s">
        <v>247</v>
      </c>
      <c r="D212" s="28" t="s">
        <v>212</v>
      </c>
      <c r="E212" s="28" t="s">
        <v>219</v>
      </c>
      <c r="F212" s="28" t="s">
        <v>585</v>
      </c>
      <c r="I212" s="28" t="s">
        <v>955</v>
      </c>
      <c r="K212" s="28" t="s">
        <v>864</v>
      </c>
      <c r="O212" s="28" t="s">
        <v>747</v>
      </c>
      <c r="R212" s="28" t="s">
        <v>212</v>
      </c>
      <c r="S212" s="28" t="s">
        <v>73</v>
      </c>
      <c r="U212" s="28" t="s">
        <v>247</v>
      </c>
      <c r="V212" s="28" t="s">
        <v>1624</v>
      </c>
      <c r="X212" s="28" t="s">
        <v>1723</v>
      </c>
      <c r="Z212" s="28" t="s">
        <v>809</v>
      </c>
      <c r="AA212" s="28" t="s">
        <v>909</v>
      </c>
      <c r="AB212" s="28" t="s">
        <v>909</v>
      </c>
      <c r="AD212" s="28" t="s">
        <v>811</v>
      </c>
    </row>
    <row r="213" spans="3:30" x14ac:dyDescent="0.25">
      <c r="C213" s="28" t="s">
        <v>261</v>
      </c>
      <c r="E213" s="28" t="s">
        <v>378</v>
      </c>
      <c r="G213" s="28" t="s">
        <v>615</v>
      </c>
      <c r="H213" s="28" t="s">
        <v>243</v>
      </c>
      <c r="J213" s="28" t="s">
        <v>1005</v>
      </c>
      <c r="L213" s="28" t="s">
        <v>765</v>
      </c>
      <c r="M213" s="28" t="s">
        <v>1137</v>
      </c>
      <c r="N213" s="28" t="s">
        <v>160</v>
      </c>
      <c r="P213" s="28" t="s">
        <v>271</v>
      </c>
      <c r="Q213" s="28" t="s">
        <v>1408</v>
      </c>
      <c r="S213" s="28" t="s">
        <v>43</v>
      </c>
      <c r="T213" s="28" t="s">
        <v>73</v>
      </c>
      <c r="U213" s="28" t="s">
        <v>260</v>
      </c>
      <c r="V213" s="28" t="s">
        <v>1625</v>
      </c>
      <c r="W213" s="28" t="s">
        <v>390</v>
      </c>
      <c r="Y213" s="28" t="s">
        <v>810</v>
      </c>
      <c r="Z213" s="28" t="s">
        <v>816</v>
      </c>
      <c r="AA213" s="28" t="s">
        <v>910</v>
      </c>
      <c r="AB213" s="28" t="s">
        <v>910</v>
      </c>
      <c r="AC213" s="28" t="s">
        <v>811</v>
      </c>
      <c r="AD213" s="28" t="s">
        <v>820</v>
      </c>
    </row>
    <row r="214" spans="3:30" x14ac:dyDescent="0.25">
      <c r="C214" s="28" t="s">
        <v>254</v>
      </c>
      <c r="D214" s="28" t="s">
        <v>160</v>
      </c>
      <c r="E214" s="28" t="s">
        <v>378</v>
      </c>
      <c r="F214" s="28" t="s">
        <v>597</v>
      </c>
      <c r="I214" s="28" t="s">
        <v>956</v>
      </c>
      <c r="J214" s="28" t="s">
        <v>1006</v>
      </c>
      <c r="K214" s="28" t="s">
        <v>1052</v>
      </c>
      <c r="M214" s="28" t="s">
        <v>1131</v>
      </c>
      <c r="O214" s="28" t="s">
        <v>748</v>
      </c>
      <c r="R214" s="28" t="s">
        <v>212</v>
      </c>
      <c r="S214" s="28" t="s">
        <v>326</v>
      </c>
      <c r="T214" s="28" t="s">
        <v>43</v>
      </c>
      <c r="U214" s="28" t="s">
        <v>247</v>
      </c>
      <c r="V214" s="28" t="s">
        <v>1626</v>
      </c>
      <c r="X214" s="28" t="s">
        <v>918</v>
      </c>
      <c r="AC214" s="28" t="s">
        <v>820</v>
      </c>
      <c r="AD214" s="28" t="s">
        <v>821</v>
      </c>
    </row>
    <row r="215" spans="3:30" x14ac:dyDescent="0.25">
      <c r="C215" s="28" t="s">
        <v>262</v>
      </c>
      <c r="E215" s="28" t="s">
        <v>378</v>
      </c>
      <c r="G215" s="28" t="s">
        <v>615</v>
      </c>
      <c r="H215" s="28" t="s">
        <v>422</v>
      </c>
      <c r="L215" s="28" t="s">
        <v>363</v>
      </c>
      <c r="M215" s="28" t="s">
        <v>1129</v>
      </c>
      <c r="N215" s="28" t="s">
        <v>759</v>
      </c>
      <c r="O215" s="28" t="s">
        <v>749</v>
      </c>
      <c r="P215" s="28" t="s">
        <v>273</v>
      </c>
      <c r="Q215" s="28" t="s">
        <v>1409</v>
      </c>
      <c r="S215" s="28" t="s">
        <v>327</v>
      </c>
      <c r="T215" s="28" t="s">
        <v>326</v>
      </c>
      <c r="U215" s="28" t="s">
        <v>261</v>
      </c>
      <c r="V215" s="28" t="s">
        <v>1627</v>
      </c>
      <c r="W215" s="28" t="s">
        <v>1678</v>
      </c>
      <c r="X215" s="28" t="s">
        <v>1264</v>
      </c>
      <c r="Y215" s="28" t="s">
        <v>811</v>
      </c>
      <c r="Z215" s="28" t="s">
        <v>909</v>
      </c>
      <c r="AA215" s="28" t="s">
        <v>810</v>
      </c>
      <c r="AB215" s="28" t="s">
        <v>810</v>
      </c>
      <c r="AC215" s="28" t="s">
        <v>821</v>
      </c>
    </row>
    <row r="216" spans="3:30" x14ac:dyDescent="0.25">
      <c r="C216" s="28" t="s">
        <v>254</v>
      </c>
      <c r="D216" s="28" t="s">
        <v>160</v>
      </c>
      <c r="F216" s="28" t="s">
        <v>455</v>
      </c>
      <c r="I216" s="28" t="s">
        <v>955</v>
      </c>
      <c r="J216" s="28" t="s">
        <v>1003</v>
      </c>
      <c r="K216" s="28" t="s">
        <v>285</v>
      </c>
      <c r="P216" s="28" t="s">
        <v>274</v>
      </c>
      <c r="R216" s="28" t="s">
        <v>1480</v>
      </c>
      <c r="T216" s="28" t="s">
        <v>327</v>
      </c>
      <c r="U216" s="28" t="s">
        <v>254</v>
      </c>
      <c r="V216" s="28" t="s">
        <v>1628</v>
      </c>
      <c r="Y216" s="28" t="s">
        <v>820</v>
      </c>
      <c r="Z216" s="28" t="s">
        <v>910</v>
      </c>
      <c r="AD216" s="28" t="s">
        <v>811</v>
      </c>
    </row>
    <row r="217" spans="3:30" x14ac:dyDescent="0.25">
      <c r="C217" s="28" t="s">
        <v>255</v>
      </c>
      <c r="E217" s="28" t="s">
        <v>489</v>
      </c>
      <c r="G217" s="28" t="s">
        <v>215</v>
      </c>
      <c r="H217" s="28" t="s">
        <v>285</v>
      </c>
      <c r="J217" s="28" t="s">
        <v>1004</v>
      </c>
      <c r="L217" s="28" t="s">
        <v>82</v>
      </c>
      <c r="M217" s="28" t="s">
        <v>858</v>
      </c>
      <c r="N217" s="28" t="s">
        <v>760</v>
      </c>
      <c r="O217" s="28" t="s">
        <v>750</v>
      </c>
      <c r="P217" s="28" t="s">
        <v>266</v>
      </c>
      <c r="Q217" s="28" t="s">
        <v>243</v>
      </c>
      <c r="S217" s="28" t="s">
        <v>328</v>
      </c>
      <c r="U217" s="28" t="s">
        <v>262</v>
      </c>
      <c r="V217" s="28" t="s">
        <v>1629</v>
      </c>
      <c r="W217" s="28" t="s">
        <v>443</v>
      </c>
      <c r="X217" s="28" t="s">
        <v>1780</v>
      </c>
      <c r="Y217" s="28" t="s">
        <v>821</v>
      </c>
      <c r="AA217" s="28" t="s">
        <v>811</v>
      </c>
      <c r="AB217" s="28" t="s">
        <v>811</v>
      </c>
      <c r="AC217" s="28" t="s">
        <v>811</v>
      </c>
      <c r="AD217" s="28" t="s">
        <v>822</v>
      </c>
    </row>
    <row r="218" spans="3:30" x14ac:dyDescent="0.25">
      <c r="C218" s="28" t="s">
        <v>263</v>
      </c>
      <c r="D218" s="28" t="s">
        <v>284</v>
      </c>
      <c r="E218" s="28" t="s">
        <v>490</v>
      </c>
      <c r="F218" s="28" t="s">
        <v>243</v>
      </c>
      <c r="I218" s="28" t="s">
        <v>545</v>
      </c>
      <c r="K218" s="28" t="s">
        <v>285</v>
      </c>
      <c r="M218" s="28" t="s">
        <v>858</v>
      </c>
      <c r="P218" s="28" t="s">
        <v>275</v>
      </c>
      <c r="Q218" s="28" t="s">
        <v>160</v>
      </c>
      <c r="R218" s="28" t="s">
        <v>160</v>
      </c>
      <c r="S218" s="28" t="s">
        <v>329</v>
      </c>
      <c r="T218" s="28" t="s">
        <v>328</v>
      </c>
      <c r="U218" s="28" t="s">
        <v>254</v>
      </c>
      <c r="Z218" s="28" t="s">
        <v>810</v>
      </c>
      <c r="AA218" s="28" t="s">
        <v>820</v>
      </c>
      <c r="AB218" s="28" t="s">
        <v>820</v>
      </c>
      <c r="AC218" s="28" t="s">
        <v>822</v>
      </c>
      <c r="AD218" s="28" t="s">
        <v>811</v>
      </c>
    </row>
    <row r="219" spans="3:30" x14ac:dyDescent="0.25">
      <c r="C219" s="28" t="s">
        <v>261</v>
      </c>
      <c r="E219" s="28" t="s">
        <v>491</v>
      </c>
      <c r="F219" s="28" t="s">
        <v>243</v>
      </c>
      <c r="G219" s="28" t="s">
        <v>416</v>
      </c>
      <c r="H219" s="28" t="s">
        <v>682</v>
      </c>
      <c r="I219" s="28" t="s">
        <v>419</v>
      </c>
      <c r="J219" s="28" t="s">
        <v>991</v>
      </c>
      <c r="L219" s="28" t="s">
        <v>766</v>
      </c>
      <c r="M219" s="28" t="s">
        <v>858</v>
      </c>
      <c r="N219" s="28" t="s">
        <v>1188</v>
      </c>
      <c r="O219" s="28" t="s">
        <v>751</v>
      </c>
      <c r="T219" s="28" t="s">
        <v>329</v>
      </c>
      <c r="U219" s="28" t="s">
        <v>255</v>
      </c>
      <c r="V219" s="28" t="s">
        <v>891</v>
      </c>
      <c r="W219" s="28" t="s">
        <v>241</v>
      </c>
      <c r="X219" s="28" t="s">
        <v>599</v>
      </c>
      <c r="Y219" s="28" t="s">
        <v>811</v>
      </c>
      <c r="AA219" s="28" t="s">
        <v>821</v>
      </c>
      <c r="AB219" s="28" t="s">
        <v>821</v>
      </c>
      <c r="AC219" s="28" t="s">
        <v>811</v>
      </c>
    </row>
    <row r="220" spans="3:30" x14ac:dyDescent="0.25">
      <c r="C220" s="28" t="s">
        <v>245</v>
      </c>
      <c r="D220" s="28" t="s">
        <v>423</v>
      </c>
      <c r="E220" s="28" t="s">
        <v>491</v>
      </c>
      <c r="I220" s="28" t="s">
        <v>160</v>
      </c>
      <c r="K220" s="28" t="s">
        <v>1072</v>
      </c>
      <c r="P220" s="28" t="s">
        <v>703</v>
      </c>
      <c r="Q220" s="28" t="s">
        <v>212</v>
      </c>
      <c r="R220" s="28" t="s">
        <v>684</v>
      </c>
      <c r="S220" s="28" t="s">
        <v>1541</v>
      </c>
      <c r="U220" s="28" t="s">
        <v>263</v>
      </c>
      <c r="V220" s="28" t="s">
        <v>892</v>
      </c>
      <c r="Y220" s="28" t="s">
        <v>822</v>
      </c>
      <c r="Z220" s="28" t="s">
        <v>811</v>
      </c>
      <c r="AD220" s="28" t="s">
        <v>911</v>
      </c>
    </row>
    <row r="221" spans="3:30" x14ac:dyDescent="0.25">
      <c r="C221" s="28" t="s">
        <v>264</v>
      </c>
      <c r="F221" s="28" t="s">
        <v>419</v>
      </c>
      <c r="G221" s="28" t="s">
        <v>390</v>
      </c>
      <c r="H221" s="28" t="s">
        <v>417</v>
      </c>
      <c r="J221" s="28" t="s">
        <v>988</v>
      </c>
      <c r="L221" s="28" t="s">
        <v>767</v>
      </c>
      <c r="M221" s="28" t="s">
        <v>500</v>
      </c>
      <c r="N221" s="28" t="s">
        <v>1188</v>
      </c>
      <c r="O221" s="28" t="s">
        <v>703</v>
      </c>
      <c r="P221" s="28" t="s">
        <v>368</v>
      </c>
      <c r="R221" s="28" t="s">
        <v>196</v>
      </c>
      <c r="S221" s="28" t="s">
        <v>1542</v>
      </c>
      <c r="T221" s="28" t="s">
        <v>1541</v>
      </c>
      <c r="U221" s="28" t="s">
        <v>261</v>
      </c>
      <c r="W221" s="28" t="s">
        <v>442</v>
      </c>
      <c r="X221" s="28" t="s">
        <v>1781</v>
      </c>
      <c r="Y221" s="28" t="s">
        <v>811</v>
      </c>
      <c r="Z221" s="28" t="s">
        <v>820</v>
      </c>
      <c r="AA221" s="28" t="s">
        <v>811</v>
      </c>
      <c r="AB221" s="28" t="s">
        <v>811</v>
      </c>
      <c r="AC221" s="28" t="s">
        <v>911</v>
      </c>
    </row>
    <row r="222" spans="3:30" x14ac:dyDescent="0.25">
      <c r="D222" s="28" t="s">
        <v>160</v>
      </c>
      <c r="E222" s="28" t="s">
        <v>221</v>
      </c>
      <c r="F222" s="28" t="s">
        <v>285</v>
      </c>
      <c r="G222" s="28" t="s">
        <v>616</v>
      </c>
      <c r="I222" s="28" t="s">
        <v>957</v>
      </c>
      <c r="K222" s="28" t="s">
        <v>419</v>
      </c>
      <c r="M222" s="28" t="s">
        <v>500</v>
      </c>
      <c r="O222" s="28" t="s">
        <v>368</v>
      </c>
      <c r="Q222" s="28" t="s">
        <v>212</v>
      </c>
      <c r="T222" s="28" t="s">
        <v>1542</v>
      </c>
      <c r="U222" s="28" t="s">
        <v>245</v>
      </c>
      <c r="V222" s="28" t="s">
        <v>1630</v>
      </c>
      <c r="Z222" s="28" t="s">
        <v>821</v>
      </c>
      <c r="AA222" s="28" t="s">
        <v>822</v>
      </c>
      <c r="AB222" s="28" t="s">
        <v>822</v>
      </c>
      <c r="AD222" s="28" t="s">
        <v>823</v>
      </c>
    </row>
    <row r="223" spans="3:30" x14ac:dyDescent="0.25">
      <c r="C223" s="28" t="s">
        <v>255</v>
      </c>
      <c r="E223" s="28" t="s">
        <v>492</v>
      </c>
      <c r="H223" s="28" t="s">
        <v>683</v>
      </c>
      <c r="J223" s="28" t="s">
        <v>994</v>
      </c>
      <c r="K223" s="28" t="s">
        <v>212</v>
      </c>
      <c r="L223" s="28" t="s">
        <v>768</v>
      </c>
      <c r="M223" s="28" t="s">
        <v>500</v>
      </c>
      <c r="N223" s="28" t="s">
        <v>678</v>
      </c>
      <c r="P223" s="28" t="s">
        <v>1342</v>
      </c>
      <c r="R223" s="28" t="s">
        <v>685</v>
      </c>
      <c r="S223" s="28" t="s">
        <v>1543</v>
      </c>
      <c r="U223" s="28" t="s">
        <v>264</v>
      </c>
      <c r="V223" s="28" t="s">
        <v>1631</v>
      </c>
      <c r="W223" s="28" t="s">
        <v>545</v>
      </c>
      <c r="X223" s="28" t="s">
        <v>599</v>
      </c>
      <c r="Y223" s="28" t="s">
        <v>911</v>
      </c>
      <c r="AA223" s="28" t="s">
        <v>811</v>
      </c>
      <c r="AB223" s="28" t="s">
        <v>811</v>
      </c>
      <c r="AC223" s="28" t="s">
        <v>823</v>
      </c>
      <c r="AD223" s="28" t="s">
        <v>809</v>
      </c>
    </row>
    <row r="224" spans="3:30" x14ac:dyDescent="0.25">
      <c r="D224" s="28" t="s">
        <v>419</v>
      </c>
      <c r="E224" s="28" t="s">
        <v>493</v>
      </c>
      <c r="F224" s="28" t="s">
        <v>243</v>
      </c>
      <c r="G224" s="28" t="s">
        <v>608</v>
      </c>
      <c r="I224" s="28" t="s">
        <v>958</v>
      </c>
      <c r="N224" s="28" t="s">
        <v>982</v>
      </c>
      <c r="O224" s="28" t="s">
        <v>752</v>
      </c>
      <c r="Q224" s="28" t="s">
        <v>1399</v>
      </c>
      <c r="S224" s="28" t="s">
        <v>1543</v>
      </c>
      <c r="T224" s="28" t="s">
        <v>1543</v>
      </c>
      <c r="Z224" s="28" t="s">
        <v>811</v>
      </c>
      <c r="AC224" s="28" t="s">
        <v>809</v>
      </c>
      <c r="AD224" s="28" t="s">
        <v>826</v>
      </c>
    </row>
    <row r="225" spans="3:30" x14ac:dyDescent="0.25">
      <c r="C225" s="28" t="s">
        <v>250</v>
      </c>
      <c r="D225" s="28" t="s">
        <v>212</v>
      </c>
      <c r="E225" s="28" t="s">
        <v>493</v>
      </c>
      <c r="F225" s="28" t="s">
        <v>243</v>
      </c>
      <c r="H225" s="28" t="s">
        <v>684</v>
      </c>
      <c r="J225" s="28" t="s">
        <v>285</v>
      </c>
      <c r="K225" s="28" t="s">
        <v>424</v>
      </c>
      <c r="L225" s="28" t="s">
        <v>674</v>
      </c>
      <c r="M225" s="28" t="s">
        <v>861</v>
      </c>
      <c r="N225" s="28" t="s">
        <v>284</v>
      </c>
      <c r="P225" s="28" t="s">
        <v>704</v>
      </c>
      <c r="R225" s="28" t="s">
        <v>686</v>
      </c>
      <c r="T225" s="28" t="s">
        <v>1543</v>
      </c>
      <c r="U225" s="28" t="s">
        <v>255</v>
      </c>
      <c r="V225" s="28" t="s">
        <v>1667</v>
      </c>
      <c r="W225" s="28" t="s">
        <v>422</v>
      </c>
      <c r="X225" s="28" t="s">
        <v>1734</v>
      </c>
      <c r="Y225" s="28" t="s">
        <v>823</v>
      </c>
      <c r="Z225" s="28" t="s">
        <v>822</v>
      </c>
      <c r="AA225" s="28" t="s">
        <v>911</v>
      </c>
      <c r="AB225" s="28" t="s">
        <v>911</v>
      </c>
      <c r="AC225" s="28" t="s">
        <v>826</v>
      </c>
    </row>
    <row r="226" spans="3:30" x14ac:dyDescent="0.25">
      <c r="C226" s="28" t="s">
        <v>261</v>
      </c>
      <c r="E226" s="28" t="s">
        <v>493</v>
      </c>
      <c r="G226" s="28" t="s">
        <v>212</v>
      </c>
      <c r="H226" s="28" t="s">
        <v>196</v>
      </c>
      <c r="I226" s="28" t="s">
        <v>959</v>
      </c>
      <c r="M226" s="28" t="s">
        <v>497</v>
      </c>
      <c r="O226" s="28" t="s">
        <v>753</v>
      </c>
      <c r="P226" s="28" t="s">
        <v>705</v>
      </c>
      <c r="Q226" s="28" t="s">
        <v>212</v>
      </c>
      <c r="R226" s="28" t="s">
        <v>687</v>
      </c>
      <c r="S226" s="28" t="s">
        <v>1544</v>
      </c>
      <c r="W226" s="28" t="s">
        <v>160</v>
      </c>
      <c r="Y226" s="28" t="s">
        <v>809</v>
      </c>
      <c r="Z226" s="28" t="s">
        <v>811</v>
      </c>
      <c r="AD226" s="28" t="s">
        <v>827</v>
      </c>
    </row>
    <row r="227" spans="3:30" x14ac:dyDescent="0.25">
      <c r="C227" s="28" t="s">
        <v>245</v>
      </c>
      <c r="D227" s="28" t="s">
        <v>212</v>
      </c>
      <c r="E227" s="28" t="s">
        <v>223</v>
      </c>
      <c r="F227" s="28" t="s">
        <v>212</v>
      </c>
      <c r="J227" s="28" t="s">
        <v>285</v>
      </c>
      <c r="K227" s="28" t="s">
        <v>1064</v>
      </c>
      <c r="L227" s="28" t="s">
        <v>769</v>
      </c>
      <c r="M227" s="28" t="s">
        <v>497</v>
      </c>
      <c r="N227" s="28" t="s">
        <v>1189</v>
      </c>
      <c r="S227" s="28" t="s">
        <v>1544</v>
      </c>
      <c r="T227" s="28" t="s">
        <v>1544</v>
      </c>
      <c r="U227" s="28" t="s">
        <v>250</v>
      </c>
      <c r="V227" s="28" t="s">
        <v>1633</v>
      </c>
      <c r="X227" s="28" t="s">
        <v>1722</v>
      </c>
      <c r="Y227" s="28" t="s">
        <v>826</v>
      </c>
      <c r="AA227" s="28" t="s">
        <v>823</v>
      </c>
      <c r="AB227" s="28" t="s">
        <v>823</v>
      </c>
      <c r="AC227" s="28" t="s">
        <v>827</v>
      </c>
      <c r="AD227" s="28" t="s">
        <v>823</v>
      </c>
    </row>
    <row r="228" spans="3:30" x14ac:dyDescent="0.25">
      <c r="C228" s="28" t="s">
        <v>263</v>
      </c>
      <c r="D228" s="28" t="s">
        <v>160</v>
      </c>
      <c r="E228" s="28" t="s">
        <v>223</v>
      </c>
      <c r="G228" s="28" t="s">
        <v>212</v>
      </c>
      <c r="H228" s="28" t="s">
        <v>685</v>
      </c>
      <c r="I228" s="28" t="s">
        <v>422</v>
      </c>
      <c r="M228" s="28" t="s">
        <v>497</v>
      </c>
      <c r="O228" s="28" t="s">
        <v>754</v>
      </c>
      <c r="P228" s="28" t="s">
        <v>1331</v>
      </c>
      <c r="Q228" s="28" t="s">
        <v>502</v>
      </c>
      <c r="R228" s="28" t="s">
        <v>688</v>
      </c>
      <c r="T228" s="28" t="s">
        <v>1544</v>
      </c>
      <c r="U228" s="28" t="s">
        <v>261</v>
      </c>
      <c r="W228" s="28" t="s">
        <v>420</v>
      </c>
      <c r="Z228" s="28" t="s">
        <v>911</v>
      </c>
      <c r="AA228" s="28" t="s">
        <v>809</v>
      </c>
      <c r="AB228" s="28" t="s">
        <v>809</v>
      </c>
      <c r="AC228" s="28" t="s">
        <v>823</v>
      </c>
      <c r="AD228" s="28" t="s">
        <v>809</v>
      </c>
    </row>
    <row r="229" spans="3:30" x14ac:dyDescent="0.25">
      <c r="C229" s="28" t="s">
        <v>254</v>
      </c>
      <c r="E229" s="28" t="s">
        <v>223</v>
      </c>
      <c r="F229" s="28" t="s">
        <v>212</v>
      </c>
      <c r="I229" s="28" t="s">
        <v>419</v>
      </c>
      <c r="J229" s="28" t="s">
        <v>994</v>
      </c>
      <c r="K229" s="28" t="s">
        <v>1056</v>
      </c>
      <c r="L229" s="28" t="s">
        <v>770</v>
      </c>
      <c r="N229" s="28" t="s">
        <v>1174</v>
      </c>
      <c r="O229" s="28" t="s">
        <v>755</v>
      </c>
      <c r="P229" s="28" t="s">
        <v>1343</v>
      </c>
      <c r="S229" s="28" t="s">
        <v>332</v>
      </c>
      <c r="U229" s="28" t="s">
        <v>245</v>
      </c>
      <c r="V229" s="28" t="s">
        <v>311</v>
      </c>
      <c r="X229" s="28" t="s">
        <v>1006</v>
      </c>
      <c r="Y229" s="28" t="s">
        <v>827</v>
      </c>
      <c r="AA229" s="28" t="s">
        <v>826</v>
      </c>
      <c r="AB229" s="28" t="s">
        <v>826</v>
      </c>
      <c r="AC229" s="28" t="s">
        <v>809</v>
      </c>
      <c r="AD229" s="28" t="s">
        <v>976</v>
      </c>
    </row>
    <row r="230" spans="3:30" x14ac:dyDescent="0.25">
      <c r="C230" s="28" t="s">
        <v>253</v>
      </c>
      <c r="D230" s="28" t="s">
        <v>423</v>
      </c>
      <c r="E230" s="28" t="s">
        <v>223</v>
      </c>
      <c r="G230" s="28" t="s">
        <v>160</v>
      </c>
      <c r="H230" s="28" t="s">
        <v>686</v>
      </c>
      <c r="I230" s="28" t="s">
        <v>160</v>
      </c>
      <c r="M230" s="28" t="s">
        <v>722</v>
      </c>
      <c r="Q230" s="28" t="s">
        <v>284</v>
      </c>
      <c r="R230" s="28" t="s">
        <v>198</v>
      </c>
      <c r="T230" s="28" t="s">
        <v>332</v>
      </c>
      <c r="U230" s="28" t="s">
        <v>263</v>
      </c>
      <c r="V230" s="28" t="s">
        <v>309</v>
      </c>
      <c r="W230" s="28" t="s">
        <v>160</v>
      </c>
      <c r="Y230" s="28" t="s">
        <v>823</v>
      </c>
      <c r="Z230" s="28" t="s">
        <v>823</v>
      </c>
      <c r="AC230" s="28" t="s">
        <v>976</v>
      </c>
      <c r="AD230" s="28" t="s">
        <v>909</v>
      </c>
    </row>
    <row r="231" spans="3:30" x14ac:dyDescent="0.25">
      <c r="E231" s="28" t="s">
        <v>223</v>
      </c>
      <c r="F231" s="28" t="s">
        <v>160</v>
      </c>
      <c r="H231" s="28" t="s">
        <v>687</v>
      </c>
      <c r="J231" s="28" t="s">
        <v>441</v>
      </c>
      <c r="K231" s="28" t="s">
        <v>424</v>
      </c>
      <c r="L231" s="28" t="s">
        <v>1125</v>
      </c>
      <c r="M231" s="28" t="s">
        <v>1133</v>
      </c>
      <c r="N231" s="28" t="s">
        <v>243</v>
      </c>
      <c r="O231" s="28" t="s">
        <v>756</v>
      </c>
      <c r="P231" s="28" t="s">
        <v>706</v>
      </c>
      <c r="S231" s="28" t="s">
        <v>1545</v>
      </c>
      <c r="U231" s="28" t="s">
        <v>254</v>
      </c>
      <c r="V231" s="28" t="s">
        <v>1634</v>
      </c>
      <c r="X231" s="28" t="s">
        <v>1782</v>
      </c>
      <c r="Y231" s="28" t="s">
        <v>809</v>
      </c>
      <c r="Z231" s="28" t="s">
        <v>809</v>
      </c>
      <c r="AA231" s="28" t="s">
        <v>827</v>
      </c>
      <c r="AB231" s="28" t="s">
        <v>827</v>
      </c>
      <c r="AC231" s="28" t="s">
        <v>909</v>
      </c>
    </row>
    <row r="232" spans="3:30" x14ac:dyDescent="0.25">
      <c r="C232" s="28" t="s">
        <v>254</v>
      </c>
      <c r="D232" s="28" t="s">
        <v>215</v>
      </c>
      <c r="E232" s="28" t="s">
        <v>223</v>
      </c>
      <c r="G232" s="28" t="s">
        <v>160</v>
      </c>
      <c r="I232" s="28" t="s">
        <v>960</v>
      </c>
      <c r="K232" s="28" t="s">
        <v>212</v>
      </c>
      <c r="M232" s="28" t="s">
        <v>722</v>
      </c>
      <c r="O232" s="28" t="s">
        <v>757</v>
      </c>
      <c r="P232" s="28" t="s">
        <v>707</v>
      </c>
      <c r="Q232" s="28" t="s">
        <v>1399</v>
      </c>
      <c r="R232" s="28" t="s">
        <v>214</v>
      </c>
      <c r="S232" s="28" t="s">
        <v>1545</v>
      </c>
      <c r="T232" s="28" t="s">
        <v>1545</v>
      </c>
      <c r="U232" s="28" t="s">
        <v>253</v>
      </c>
      <c r="W232" s="28" t="s">
        <v>435</v>
      </c>
      <c r="Y232" s="28" t="s">
        <v>976</v>
      </c>
      <c r="Z232" s="28" t="s">
        <v>826</v>
      </c>
      <c r="AA232" s="28" t="s">
        <v>823</v>
      </c>
      <c r="AB232" s="28" t="s">
        <v>823</v>
      </c>
      <c r="AD232" s="28" t="s">
        <v>810</v>
      </c>
    </row>
    <row r="233" spans="3:30" x14ac:dyDescent="0.25">
      <c r="C233" s="28" t="s">
        <v>255</v>
      </c>
      <c r="E233" s="28" t="s">
        <v>223</v>
      </c>
      <c r="F233" s="28" t="s">
        <v>160</v>
      </c>
      <c r="H233" s="28" t="s">
        <v>688</v>
      </c>
      <c r="J233" s="28" t="s">
        <v>419</v>
      </c>
      <c r="L233" s="28" t="s">
        <v>772</v>
      </c>
      <c r="N233" s="28" t="s">
        <v>285</v>
      </c>
      <c r="P233" s="28" t="s">
        <v>708</v>
      </c>
      <c r="S233" s="28" t="s">
        <v>336</v>
      </c>
      <c r="T233" s="28" t="s">
        <v>1545</v>
      </c>
      <c r="V233" s="28" t="s">
        <v>326</v>
      </c>
      <c r="X233" s="28" t="s">
        <v>243</v>
      </c>
      <c r="Y233" s="28" t="s">
        <v>909</v>
      </c>
      <c r="AA233" s="28" t="s">
        <v>809</v>
      </c>
      <c r="AB233" s="28" t="s">
        <v>809</v>
      </c>
      <c r="AC233" s="28" t="s">
        <v>810</v>
      </c>
      <c r="AD233" s="28" t="s">
        <v>818</v>
      </c>
    </row>
    <row r="234" spans="3:30" x14ac:dyDescent="0.25">
      <c r="C234" s="28" t="s">
        <v>248</v>
      </c>
      <c r="D234" s="28" t="s">
        <v>421</v>
      </c>
      <c r="E234" s="28" t="s">
        <v>223</v>
      </c>
      <c r="G234" s="28" t="s">
        <v>255</v>
      </c>
      <c r="I234" s="28" t="s">
        <v>959</v>
      </c>
      <c r="J234" s="28" t="s">
        <v>160</v>
      </c>
      <c r="K234" s="28" t="s">
        <v>212</v>
      </c>
      <c r="L234" s="28" t="s">
        <v>773</v>
      </c>
      <c r="M234" s="28" t="s">
        <v>722</v>
      </c>
      <c r="O234" s="28" t="s">
        <v>1279</v>
      </c>
      <c r="P234" s="28" t="s">
        <v>709</v>
      </c>
      <c r="Q234" s="28" t="s">
        <v>1410</v>
      </c>
      <c r="R234" s="28" t="s">
        <v>283</v>
      </c>
      <c r="T234" s="28" t="s">
        <v>336</v>
      </c>
      <c r="U234" s="28" t="s">
        <v>254</v>
      </c>
      <c r="V234" s="28" t="s">
        <v>1635</v>
      </c>
      <c r="W234" s="28" t="s">
        <v>420</v>
      </c>
      <c r="X234" s="28" t="s">
        <v>160</v>
      </c>
      <c r="Z234" s="28" t="s">
        <v>827</v>
      </c>
      <c r="AA234" s="28" t="s">
        <v>976</v>
      </c>
      <c r="AB234" s="28" t="s">
        <v>976</v>
      </c>
      <c r="AC234" s="28" t="s">
        <v>818</v>
      </c>
    </row>
    <row r="235" spans="3:30" x14ac:dyDescent="0.25">
      <c r="C235" s="28" t="s">
        <v>246</v>
      </c>
      <c r="E235" s="28" t="s">
        <v>223</v>
      </c>
      <c r="F235" s="28" t="s">
        <v>596</v>
      </c>
      <c r="H235" s="28" t="s">
        <v>198</v>
      </c>
      <c r="K235" s="28" t="s">
        <v>160</v>
      </c>
      <c r="L235" s="28" t="s">
        <v>774</v>
      </c>
      <c r="M235" s="28" t="s">
        <v>1133</v>
      </c>
      <c r="N235" s="28" t="s">
        <v>285</v>
      </c>
      <c r="S235" s="28" t="s">
        <v>337</v>
      </c>
      <c r="U235" s="28" t="s">
        <v>255</v>
      </c>
      <c r="V235" s="28" t="s">
        <v>319</v>
      </c>
      <c r="X235" s="28" t="s">
        <v>160</v>
      </c>
      <c r="Y235" s="28" t="s">
        <v>810</v>
      </c>
      <c r="Z235" s="28" t="s">
        <v>823</v>
      </c>
      <c r="AA235" s="28" t="s">
        <v>909</v>
      </c>
      <c r="AB235" s="28" t="s">
        <v>909</v>
      </c>
      <c r="AD235" s="28" t="s">
        <v>849</v>
      </c>
    </row>
    <row r="236" spans="3:30" x14ac:dyDescent="0.25">
      <c r="C236" s="28" t="s">
        <v>256</v>
      </c>
      <c r="D236" s="28" t="s">
        <v>255</v>
      </c>
      <c r="E236" s="28" t="s">
        <v>223</v>
      </c>
      <c r="G236" s="28" t="s">
        <v>243</v>
      </c>
      <c r="I236" s="28" t="s">
        <v>419</v>
      </c>
      <c r="J236" s="28" t="s">
        <v>243</v>
      </c>
      <c r="L236" s="28" t="s">
        <v>775</v>
      </c>
      <c r="M236" s="28" t="s">
        <v>722</v>
      </c>
      <c r="O236" s="28" t="s">
        <v>1293</v>
      </c>
      <c r="P236" s="28" t="s">
        <v>160</v>
      </c>
      <c r="Q236" s="28" t="s">
        <v>284</v>
      </c>
      <c r="R236" s="28" t="s">
        <v>689</v>
      </c>
      <c r="T236" s="28" t="s">
        <v>337</v>
      </c>
      <c r="U236" s="28" t="s">
        <v>248</v>
      </c>
      <c r="V236" s="28" t="s">
        <v>317</v>
      </c>
      <c r="W236" s="28" t="s">
        <v>1678</v>
      </c>
      <c r="Y236" s="28" t="s">
        <v>818</v>
      </c>
      <c r="Z236" s="28" t="s">
        <v>809</v>
      </c>
      <c r="AC236" s="28" t="s">
        <v>849</v>
      </c>
      <c r="AD236" s="28" t="s">
        <v>850</v>
      </c>
    </row>
    <row r="237" spans="3:30" x14ac:dyDescent="0.25">
      <c r="E237" s="28" t="s">
        <v>223</v>
      </c>
      <c r="F237" s="28" t="s">
        <v>597</v>
      </c>
      <c r="G237" s="28" t="s">
        <v>212</v>
      </c>
      <c r="H237" s="28" t="s">
        <v>214</v>
      </c>
      <c r="K237" s="28" t="s">
        <v>285</v>
      </c>
      <c r="N237" s="28" t="s">
        <v>285</v>
      </c>
      <c r="P237" s="28" t="s">
        <v>160</v>
      </c>
      <c r="S237" s="28" t="s">
        <v>1546</v>
      </c>
      <c r="U237" s="28" t="s">
        <v>246</v>
      </c>
      <c r="V237" s="28" t="s">
        <v>1636</v>
      </c>
      <c r="X237" s="28" t="s">
        <v>243</v>
      </c>
      <c r="Z237" s="28" t="s">
        <v>976</v>
      </c>
      <c r="AA237" s="28" t="s">
        <v>810</v>
      </c>
      <c r="AB237" s="28" t="s">
        <v>810</v>
      </c>
      <c r="AC237" s="28" t="s">
        <v>850</v>
      </c>
    </row>
    <row r="238" spans="3:30" x14ac:dyDescent="0.25">
      <c r="C238" s="28" t="s">
        <v>265</v>
      </c>
      <c r="D238" s="28" t="s">
        <v>243</v>
      </c>
      <c r="E238" s="28" t="s">
        <v>223</v>
      </c>
      <c r="G238" s="28" t="s">
        <v>285</v>
      </c>
      <c r="I238" s="28" t="s">
        <v>285</v>
      </c>
      <c r="J238" s="28" t="s">
        <v>1007</v>
      </c>
      <c r="L238" s="28" t="s">
        <v>776</v>
      </c>
      <c r="M238" s="28" t="s">
        <v>845</v>
      </c>
      <c r="N238" s="28" t="s">
        <v>545</v>
      </c>
      <c r="O238" s="28" t="s">
        <v>160</v>
      </c>
      <c r="Q238" s="28" t="s">
        <v>212</v>
      </c>
      <c r="R238" s="28" t="s">
        <v>690</v>
      </c>
      <c r="S238" s="28" t="s">
        <v>1546</v>
      </c>
      <c r="T238" s="28" t="s">
        <v>1546</v>
      </c>
      <c r="U238" s="28" t="s">
        <v>256</v>
      </c>
      <c r="W238" s="28" t="s">
        <v>435</v>
      </c>
      <c r="X238" s="28" t="s">
        <v>420</v>
      </c>
      <c r="Y238" s="28" t="s">
        <v>849</v>
      </c>
      <c r="Z238" s="28" t="s">
        <v>909</v>
      </c>
      <c r="AA238" s="28" t="s">
        <v>818</v>
      </c>
      <c r="AB238" s="28" t="s">
        <v>818</v>
      </c>
      <c r="AD238" s="28" t="s">
        <v>830</v>
      </c>
    </row>
    <row r="239" spans="3:30" x14ac:dyDescent="0.25">
      <c r="C239" s="28" t="s">
        <v>266</v>
      </c>
      <c r="D239" s="28" t="s">
        <v>422</v>
      </c>
      <c r="E239" s="28" t="s">
        <v>223</v>
      </c>
      <c r="F239" s="28" t="s">
        <v>455</v>
      </c>
      <c r="H239" s="28" t="s">
        <v>283</v>
      </c>
      <c r="I239" s="28" t="s">
        <v>244</v>
      </c>
      <c r="K239" s="28" t="s">
        <v>1073</v>
      </c>
      <c r="L239" s="28" t="s">
        <v>777</v>
      </c>
      <c r="M239" s="28" t="s">
        <v>846</v>
      </c>
      <c r="P239" s="28" t="s">
        <v>684</v>
      </c>
      <c r="R239" s="28" t="s">
        <v>691</v>
      </c>
      <c r="T239" s="28" t="s">
        <v>1546</v>
      </c>
      <c r="V239" s="28" t="s">
        <v>1637</v>
      </c>
      <c r="Y239" s="28" t="s">
        <v>850</v>
      </c>
      <c r="AC239" s="28" t="s">
        <v>830</v>
      </c>
      <c r="AD239" s="28" t="s">
        <v>831</v>
      </c>
    </row>
    <row r="240" spans="3:30" x14ac:dyDescent="0.25">
      <c r="C240" s="28" t="s">
        <v>267</v>
      </c>
      <c r="D240" s="28" t="s">
        <v>420</v>
      </c>
      <c r="E240" s="28" t="s">
        <v>223</v>
      </c>
      <c r="G240" s="28" t="s">
        <v>419</v>
      </c>
      <c r="I240" s="28" t="s">
        <v>160</v>
      </c>
      <c r="J240" s="28" t="s">
        <v>243</v>
      </c>
      <c r="L240" s="28" t="s">
        <v>778</v>
      </c>
      <c r="N240" s="28" t="s">
        <v>1190</v>
      </c>
      <c r="O240" s="28" t="s">
        <v>759</v>
      </c>
      <c r="P240" s="28" t="s">
        <v>196</v>
      </c>
      <c r="Q240" s="28" t="s">
        <v>916</v>
      </c>
      <c r="S240" s="28" t="s">
        <v>339</v>
      </c>
      <c r="U240" s="28" t="s">
        <v>265</v>
      </c>
      <c r="W240" s="28" t="s">
        <v>961</v>
      </c>
      <c r="X240" s="28" t="s">
        <v>243</v>
      </c>
      <c r="Z240" s="28" t="s">
        <v>810</v>
      </c>
      <c r="AA240" s="28" t="s">
        <v>849</v>
      </c>
      <c r="AB240" s="28" t="s">
        <v>849</v>
      </c>
      <c r="AC240" s="28" t="s">
        <v>831</v>
      </c>
    </row>
    <row r="241" spans="3:30" x14ac:dyDescent="0.25">
      <c r="C241" s="28" t="s">
        <v>268</v>
      </c>
      <c r="E241" s="28" t="s">
        <v>494</v>
      </c>
      <c r="F241" s="28" t="s">
        <v>565</v>
      </c>
      <c r="G241" s="28" t="s">
        <v>285</v>
      </c>
      <c r="H241" s="28" t="s">
        <v>689</v>
      </c>
      <c r="K241" s="28" t="s">
        <v>285</v>
      </c>
      <c r="L241" s="28" t="s">
        <v>779</v>
      </c>
      <c r="M241" s="28" t="s">
        <v>847</v>
      </c>
      <c r="Q241" s="28" t="s">
        <v>1105</v>
      </c>
      <c r="R241" s="28" t="s">
        <v>692</v>
      </c>
      <c r="T241" s="28" t="s">
        <v>339</v>
      </c>
      <c r="U241" s="28" t="s">
        <v>266</v>
      </c>
      <c r="V241" s="28" t="s">
        <v>1638</v>
      </c>
      <c r="X241" s="28" t="s">
        <v>160</v>
      </c>
      <c r="Y241" s="28" t="s">
        <v>830</v>
      </c>
      <c r="Z241" s="28" t="s">
        <v>818</v>
      </c>
      <c r="AA241" s="28" t="s">
        <v>850</v>
      </c>
      <c r="AB241" s="28" t="s">
        <v>850</v>
      </c>
      <c r="AD241" s="28" t="s">
        <v>832</v>
      </c>
    </row>
    <row r="242" spans="3:30" x14ac:dyDescent="0.25">
      <c r="C242" s="28" t="s">
        <v>269</v>
      </c>
      <c r="D242" s="28" t="s">
        <v>419</v>
      </c>
      <c r="E242" s="28" t="s">
        <v>378</v>
      </c>
      <c r="I242" s="28" t="s">
        <v>422</v>
      </c>
      <c r="J242" s="28" t="s">
        <v>424</v>
      </c>
      <c r="M242" s="28" t="s">
        <v>848</v>
      </c>
      <c r="N242" s="28" t="s">
        <v>285</v>
      </c>
      <c r="O242" s="28" t="s">
        <v>760</v>
      </c>
      <c r="P242" s="28" t="s">
        <v>685</v>
      </c>
      <c r="R242" s="28" t="s">
        <v>693</v>
      </c>
      <c r="S242" s="28" t="s">
        <v>340</v>
      </c>
      <c r="U242" s="28" t="s">
        <v>267</v>
      </c>
      <c r="W242" s="28" t="s">
        <v>254</v>
      </c>
      <c r="X242" s="28" t="s">
        <v>160</v>
      </c>
      <c r="Y242" s="28" t="s">
        <v>831</v>
      </c>
      <c r="AC242" s="28" t="s">
        <v>832</v>
      </c>
      <c r="AD242" s="28" t="s">
        <v>833</v>
      </c>
    </row>
    <row r="243" spans="3:30" x14ac:dyDescent="0.25">
      <c r="C243" s="28" t="s">
        <v>270</v>
      </c>
      <c r="D243" s="28" t="s">
        <v>285</v>
      </c>
      <c r="E243" s="28" t="s">
        <v>378</v>
      </c>
      <c r="F243" s="28" t="s">
        <v>243</v>
      </c>
      <c r="G243" s="28" t="s">
        <v>255</v>
      </c>
      <c r="H243" s="28" t="s">
        <v>690</v>
      </c>
      <c r="I243" s="28" t="s">
        <v>244</v>
      </c>
      <c r="K243" s="28" t="s">
        <v>684</v>
      </c>
      <c r="L243" s="28" t="s">
        <v>780</v>
      </c>
      <c r="Q243" s="28" t="s">
        <v>442</v>
      </c>
      <c r="T243" s="28" t="s">
        <v>340</v>
      </c>
      <c r="U243" s="28" t="s">
        <v>268</v>
      </c>
      <c r="V243" s="28" t="s">
        <v>1639</v>
      </c>
      <c r="Z243" s="28" t="s">
        <v>849</v>
      </c>
      <c r="AA243" s="28" t="s">
        <v>830</v>
      </c>
      <c r="AB243" s="28" t="s">
        <v>830</v>
      </c>
      <c r="AC243" s="28" t="s">
        <v>833</v>
      </c>
    </row>
    <row r="244" spans="3:30" x14ac:dyDescent="0.25">
      <c r="C244" s="28" t="s">
        <v>268</v>
      </c>
      <c r="E244" s="28" t="s">
        <v>495</v>
      </c>
      <c r="F244" s="28" t="s">
        <v>244</v>
      </c>
      <c r="H244" s="28" t="s">
        <v>691</v>
      </c>
      <c r="I244" s="28" t="s">
        <v>160</v>
      </c>
      <c r="J244" s="28" t="s">
        <v>243</v>
      </c>
      <c r="K244" s="28" t="s">
        <v>196</v>
      </c>
      <c r="M244" s="28" t="s">
        <v>843</v>
      </c>
      <c r="N244" s="28" t="s">
        <v>1169</v>
      </c>
      <c r="O244" s="28" t="s">
        <v>1294</v>
      </c>
      <c r="P244" s="28" t="s">
        <v>686</v>
      </c>
      <c r="R244" s="28" t="s">
        <v>694</v>
      </c>
      <c r="S244" s="28" t="s">
        <v>333</v>
      </c>
      <c r="U244" s="28" t="s">
        <v>269</v>
      </c>
      <c r="V244" s="28" t="s">
        <v>1640</v>
      </c>
      <c r="W244" s="28" t="s">
        <v>212</v>
      </c>
      <c r="X244" s="28" t="s">
        <v>243</v>
      </c>
      <c r="Y244" s="28" t="s">
        <v>832</v>
      </c>
      <c r="Z244" s="28" t="s">
        <v>850</v>
      </c>
      <c r="AA244" s="28" t="s">
        <v>831</v>
      </c>
      <c r="AB244" s="28" t="s">
        <v>831</v>
      </c>
      <c r="AD244" s="28" t="s">
        <v>834</v>
      </c>
    </row>
    <row r="245" spans="3:30" x14ac:dyDescent="0.25">
      <c r="C245" s="28" t="s">
        <v>267</v>
      </c>
      <c r="D245" s="28" t="s">
        <v>255</v>
      </c>
      <c r="E245" s="28" t="s">
        <v>495</v>
      </c>
      <c r="G245" s="28" t="s">
        <v>243</v>
      </c>
      <c r="I245" s="28" t="s">
        <v>254</v>
      </c>
      <c r="L245" s="28" t="s">
        <v>780</v>
      </c>
      <c r="M245" s="28" t="s">
        <v>844</v>
      </c>
      <c r="P245" s="28" t="s">
        <v>687</v>
      </c>
      <c r="Q245" s="28" t="s">
        <v>1396</v>
      </c>
      <c r="R245" s="28" t="s">
        <v>695</v>
      </c>
      <c r="S245" s="28" t="s">
        <v>334</v>
      </c>
      <c r="T245" s="28" t="s">
        <v>333</v>
      </c>
      <c r="U245" s="28" t="s">
        <v>270</v>
      </c>
      <c r="V245" s="28" t="s">
        <v>1641</v>
      </c>
      <c r="X245" s="28" t="s">
        <v>420</v>
      </c>
      <c r="Y245" s="28" t="s">
        <v>833</v>
      </c>
      <c r="AC245" s="28" t="s">
        <v>834</v>
      </c>
      <c r="AD245" s="28" t="s">
        <v>835</v>
      </c>
    </row>
    <row r="246" spans="3:30" x14ac:dyDescent="0.25">
      <c r="C246" s="28" t="s">
        <v>269</v>
      </c>
      <c r="F246" s="28" t="s">
        <v>422</v>
      </c>
      <c r="G246" s="28" t="s">
        <v>212</v>
      </c>
      <c r="H246" s="28" t="s">
        <v>692</v>
      </c>
      <c r="I246" s="28" t="s">
        <v>961</v>
      </c>
      <c r="J246" s="28" t="s">
        <v>441</v>
      </c>
      <c r="K246" s="28" t="s">
        <v>685</v>
      </c>
      <c r="M246" s="28" t="s">
        <v>870</v>
      </c>
      <c r="N246" s="28" t="s">
        <v>285</v>
      </c>
      <c r="O246" s="28" t="s">
        <v>1294</v>
      </c>
      <c r="T246" s="28" t="s">
        <v>334</v>
      </c>
      <c r="U246" s="28" t="s">
        <v>268</v>
      </c>
      <c r="W246" s="28" t="s">
        <v>419</v>
      </c>
      <c r="Z246" s="28" t="s">
        <v>830</v>
      </c>
      <c r="AA246" s="28" t="s">
        <v>832</v>
      </c>
      <c r="AB246" s="28" t="s">
        <v>832</v>
      </c>
      <c r="AC246" s="28" t="s">
        <v>835</v>
      </c>
    </row>
    <row r="247" spans="3:30" x14ac:dyDescent="0.25">
      <c r="D247" s="28" t="s">
        <v>243</v>
      </c>
      <c r="E247" s="28" t="s">
        <v>496</v>
      </c>
      <c r="F247" s="28" t="s">
        <v>160</v>
      </c>
      <c r="G247" s="28" t="s">
        <v>285</v>
      </c>
      <c r="H247" s="28" t="s">
        <v>693</v>
      </c>
      <c r="L247" s="28" t="s">
        <v>780</v>
      </c>
      <c r="M247" s="28" t="s">
        <v>869</v>
      </c>
      <c r="P247" s="28" t="s">
        <v>688</v>
      </c>
      <c r="Q247" s="28" t="s">
        <v>502</v>
      </c>
      <c r="R247" s="28" t="s">
        <v>692</v>
      </c>
      <c r="S247" s="28" t="s">
        <v>341</v>
      </c>
      <c r="U247" s="28" t="s">
        <v>267</v>
      </c>
      <c r="V247" s="28" t="s">
        <v>43</v>
      </c>
      <c r="X247" s="28" t="s">
        <v>916</v>
      </c>
      <c r="Y247" s="28" t="s">
        <v>834</v>
      </c>
      <c r="Z247" s="28" t="s">
        <v>831</v>
      </c>
      <c r="AA247" s="28" t="s">
        <v>833</v>
      </c>
      <c r="AB247" s="28" t="s">
        <v>833</v>
      </c>
      <c r="AD247" s="28" t="s">
        <v>837</v>
      </c>
    </row>
    <row r="248" spans="3:30" x14ac:dyDescent="0.25">
      <c r="C248" s="28" t="s">
        <v>271</v>
      </c>
      <c r="D248" s="28" t="s">
        <v>422</v>
      </c>
      <c r="E248" s="28" t="s">
        <v>497</v>
      </c>
      <c r="I248" s="28" t="s">
        <v>962</v>
      </c>
      <c r="J248" s="28" t="s">
        <v>243</v>
      </c>
      <c r="K248" s="28" t="s">
        <v>283</v>
      </c>
      <c r="M248" s="28" t="s">
        <v>870</v>
      </c>
      <c r="N248" s="28" t="s">
        <v>1191</v>
      </c>
      <c r="O248" s="28" t="s">
        <v>969</v>
      </c>
      <c r="Q248" s="28" t="s">
        <v>1105</v>
      </c>
      <c r="R248" s="28" t="s">
        <v>696</v>
      </c>
      <c r="S248" s="28" t="s">
        <v>342</v>
      </c>
      <c r="T248" s="28" t="s">
        <v>341</v>
      </c>
      <c r="U248" s="28" t="s">
        <v>269</v>
      </c>
      <c r="V248" s="28" t="s">
        <v>326</v>
      </c>
      <c r="W248" s="28" t="s">
        <v>419</v>
      </c>
      <c r="Y248" s="28" t="s">
        <v>835</v>
      </c>
      <c r="AC248" s="28" t="s">
        <v>837</v>
      </c>
    </row>
    <row r="249" spans="3:30" x14ac:dyDescent="0.25">
      <c r="D249" s="28" t="s">
        <v>420</v>
      </c>
      <c r="E249" s="28" t="s">
        <v>497</v>
      </c>
      <c r="F249" s="28" t="s">
        <v>419</v>
      </c>
      <c r="G249" s="28" t="s">
        <v>215</v>
      </c>
      <c r="H249" s="28" t="s">
        <v>694</v>
      </c>
      <c r="L249" s="28" t="s">
        <v>781</v>
      </c>
      <c r="P249" s="28" t="s">
        <v>198</v>
      </c>
      <c r="S249" s="28" t="s">
        <v>1547</v>
      </c>
      <c r="T249" s="28" t="s">
        <v>342</v>
      </c>
      <c r="V249" s="28" t="s">
        <v>1642</v>
      </c>
      <c r="W249" s="28" t="s">
        <v>212</v>
      </c>
      <c r="X249" s="28" t="s">
        <v>243</v>
      </c>
      <c r="Z249" s="28" t="s">
        <v>832</v>
      </c>
      <c r="AA249" s="28" t="s">
        <v>834</v>
      </c>
      <c r="AB249" s="28" t="s">
        <v>834</v>
      </c>
      <c r="AD249" s="28" t="s">
        <v>838</v>
      </c>
    </row>
    <row r="250" spans="3:30" x14ac:dyDescent="0.25">
      <c r="C250" s="28" t="s">
        <v>254</v>
      </c>
      <c r="E250" s="28" t="s">
        <v>497</v>
      </c>
      <c r="F250" s="28" t="s">
        <v>243</v>
      </c>
      <c r="H250" s="28" t="s">
        <v>695</v>
      </c>
      <c r="I250" s="28" t="s">
        <v>963</v>
      </c>
      <c r="J250" s="28" t="s">
        <v>244</v>
      </c>
      <c r="K250" s="28" t="s">
        <v>689</v>
      </c>
      <c r="M250" s="28" t="s">
        <v>867</v>
      </c>
      <c r="N250" s="28" t="s">
        <v>422</v>
      </c>
      <c r="O250" s="28" t="s">
        <v>970</v>
      </c>
      <c r="Q250" s="28" t="s">
        <v>1392</v>
      </c>
      <c r="R250" s="28" t="s">
        <v>694</v>
      </c>
      <c r="S250" s="28" t="s">
        <v>1548</v>
      </c>
      <c r="T250" s="28" t="s">
        <v>1547</v>
      </c>
      <c r="U250" s="28" t="s">
        <v>271</v>
      </c>
      <c r="X250" s="28" t="s">
        <v>545</v>
      </c>
      <c r="Y250" s="28" t="s">
        <v>837</v>
      </c>
      <c r="Z250" s="28" t="s">
        <v>833</v>
      </c>
      <c r="AA250" s="28" t="s">
        <v>835</v>
      </c>
      <c r="AB250" s="28" t="s">
        <v>835</v>
      </c>
      <c r="AC250" s="28" t="s">
        <v>838</v>
      </c>
    </row>
    <row r="251" spans="3:30" x14ac:dyDescent="0.25">
      <c r="D251" s="28" t="s">
        <v>424</v>
      </c>
      <c r="E251" s="28" t="s">
        <v>497</v>
      </c>
      <c r="F251" s="28" t="s">
        <v>160</v>
      </c>
      <c r="G251" s="28" t="s">
        <v>615</v>
      </c>
      <c r="L251" s="28" t="s">
        <v>782</v>
      </c>
      <c r="M251" s="28" t="s">
        <v>868</v>
      </c>
      <c r="P251" s="28" t="s">
        <v>214</v>
      </c>
      <c r="R251" s="28" t="s">
        <v>697</v>
      </c>
      <c r="T251" s="28" t="s">
        <v>1548</v>
      </c>
      <c r="V251" s="28" t="s">
        <v>1643</v>
      </c>
      <c r="W251" s="28" t="s">
        <v>436</v>
      </c>
      <c r="X251" s="28" t="s">
        <v>160</v>
      </c>
      <c r="AD251" s="28" t="s">
        <v>836</v>
      </c>
    </row>
    <row r="252" spans="3:30" x14ac:dyDescent="0.25">
      <c r="C252" s="28" t="s">
        <v>272</v>
      </c>
      <c r="D252" s="28" t="s">
        <v>420</v>
      </c>
      <c r="E252" s="28" t="s">
        <v>498</v>
      </c>
      <c r="H252" s="28" t="s">
        <v>692</v>
      </c>
      <c r="I252" s="28" t="s">
        <v>964</v>
      </c>
      <c r="J252" s="28" t="s">
        <v>419</v>
      </c>
      <c r="K252" s="28" t="s">
        <v>690</v>
      </c>
      <c r="M252" s="28" t="s">
        <v>870</v>
      </c>
      <c r="N252" s="28" t="s">
        <v>424</v>
      </c>
      <c r="O252" s="28" t="s">
        <v>1279</v>
      </c>
      <c r="Q252" s="28" t="s">
        <v>1399</v>
      </c>
      <c r="S252" s="28" t="s">
        <v>1549</v>
      </c>
      <c r="U252" s="28" t="s">
        <v>254</v>
      </c>
      <c r="W252" s="28" t="s">
        <v>437</v>
      </c>
      <c r="Y252" s="28" t="s">
        <v>838</v>
      </c>
      <c r="Z252" s="28" t="s">
        <v>834</v>
      </c>
      <c r="AA252" s="28" t="s">
        <v>837</v>
      </c>
      <c r="AB252" s="28" t="s">
        <v>837</v>
      </c>
      <c r="AC252" s="28" t="s">
        <v>836</v>
      </c>
    </row>
    <row r="253" spans="3:30" x14ac:dyDescent="0.25">
      <c r="C253" s="28" t="s">
        <v>273</v>
      </c>
      <c r="D253" s="28" t="s">
        <v>244</v>
      </c>
      <c r="E253" s="28" t="s">
        <v>499</v>
      </c>
      <c r="F253" s="28" t="s">
        <v>443</v>
      </c>
      <c r="G253" s="28" t="s">
        <v>616</v>
      </c>
      <c r="H253" s="28" t="s">
        <v>696</v>
      </c>
      <c r="J253" s="28" t="s">
        <v>160</v>
      </c>
      <c r="L253" s="28" t="s">
        <v>160</v>
      </c>
      <c r="M253" s="28" t="s">
        <v>869</v>
      </c>
      <c r="N253" s="28" t="s">
        <v>420</v>
      </c>
      <c r="P253" s="28" t="s">
        <v>283</v>
      </c>
      <c r="R253" s="28" t="s">
        <v>692</v>
      </c>
      <c r="T253" s="28" t="s">
        <v>1570</v>
      </c>
      <c r="V253" s="28" t="s">
        <v>328</v>
      </c>
      <c r="X253" s="28" t="s">
        <v>419</v>
      </c>
      <c r="Z253" s="28" t="s">
        <v>835</v>
      </c>
      <c r="AD253" s="28" t="s">
        <v>861</v>
      </c>
    </row>
    <row r="254" spans="3:30" x14ac:dyDescent="0.25">
      <c r="C254" s="28" t="s">
        <v>274</v>
      </c>
      <c r="E254" s="28" t="s">
        <v>499</v>
      </c>
      <c r="I254" s="28" t="s">
        <v>965</v>
      </c>
      <c r="K254" s="28" t="s">
        <v>691</v>
      </c>
      <c r="M254" s="28" t="s">
        <v>870</v>
      </c>
      <c r="O254" s="28" t="s">
        <v>275</v>
      </c>
      <c r="Q254" s="28" t="s">
        <v>1392</v>
      </c>
      <c r="R254" s="28" t="s">
        <v>698</v>
      </c>
      <c r="S254" s="28" t="s">
        <v>346</v>
      </c>
      <c r="U254" s="28" t="s">
        <v>272</v>
      </c>
      <c r="V254" s="28" t="s">
        <v>329</v>
      </c>
      <c r="W254" s="28" t="s">
        <v>438</v>
      </c>
      <c r="X254" s="28" t="s">
        <v>545</v>
      </c>
      <c r="Y254" s="28" t="s">
        <v>836</v>
      </c>
      <c r="AA254" s="28" t="s">
        <v>838</v>
      </c>
      <c r="AB254" s="28" t="s">
        <v>838</v>
      </c>
      <c r="AC254" s="28" t="s">
        <v>861</v>
      </c>
    </row>
    <row r="255" spans="3:30" x14ac:dyDescent="0.25">
      <c r="C255" s="28" t="s">
        <v>266</v>
      </c>
      <c r="D255" s="28" t="s">
        <v>160</v>
      </c>
      <c r="E255" s="28" t="s">
        <v>497</v>
      </c>
      <c r="F255" s="28" t="s">
        <v>241</v>
      </c>
      <c r="G255" s="28" t="s">
        <v>615</v>
      </c>
      <c r="H255" s="28" t="s">
        <v>694</v>
      </c>
      <c r="J255" s="28" t="s">
        <v>991</v>
      </c>
      <c r="L255" s="28" t="s">
        <v>783</v>
      </c>
      <c r="N255" s="28" t="s">
        <v>1175</v>
      </c>
      <c r="P255" s="28" t="s">
        <v>689</v>
      </c>
      <c r="R255" s="28" t="s">
        <v>699</v>
      </c>
      <c r="T255" s="28" t="s">
        <v>346</v>
      </c>
      <c r="U255" s="28" t="s">
        <v>273</v>
      </c>
      <c r="W255" s="28" t="s">
        <v>439</v>
      </c>
      <c r="Z255" s="28" t="s">
        <v>837</v>
      </c>
      <c r="AD255" s="28" t="s">
        <v>839</v>
      </c>
    </row>
    <row r="256" spans="3:30" x14ac:dyDescent="0.25">
      <c r="C256" s="28" t="s">
        <v>275</v>
      </c>
      <c r="D256" s="28" t="s">
        <v>160</v>
      </c>
      <c r="E256" s="28" t="s">
        <v>497</v>
      </c>
      <c r="H256" s="28" t="s">
        <v>697</v>
      </c>
      <c r="I256" s="28" t="s">
        <v>964</v>
      </c>
      <c r="K256" s="28" t="s">
        <v>692</v>
      </c>
      <c r="M256" s="28" t="s">
        <v>452</v>
      </c>
      <c r="O256" s="28" t="s">
        <v>764</v>
      </c>
      <c r="Q256" s="28" t="s">
        <v>212</v>
      </c>
      <c r="R256" s="28" t="s">
        <v>700</v>
      </c>
      <c r="S256" s="28" t="s">
        <v>327</v>
      </c>
      <c r="U256" s="28" t="s">
        <v>274</v>
      </c>
      <c r="V256" s="28" t="s">
        <v>1644</v>
      </c>
      <c r="W256" s="28" t="s">
        <v>440</v>
      </c>
      <c r="X256" s="28" t="s">
        <v>1723</v>
      </c>
      <c r="Y256" s="28" t="s">
        <v>861</v>
      </c>
      <c r="AA256" s="28" t="s">
        <v>836</v>
      </c>
      <c r="AB256" s="28" t="s">
        <v>836</v>
      </c>
      <c r="AC256" s="28" t="s">
        <v>839</v>
      </c>
      <c r="AD256" s="28" t="s">
        <v>840</v>
      </c>
    </row>
    <row r="257" spans="3:30" x14ac:dyDescent="0.25">
      <c r="D257" s="28" t="s">
        <v>160</v>
      </c>
      <c r="E257" s="28" t="s">
        <v>497</v>
      </c>
      <c r="F257" s="28" t="s">
        <v>585</v>
      </c>
      <c r="G257" s="28" t="s">
        <v>215</v>
      </c>
      <c r="J257" s="28" t="s">
        <v>703</v>
      </c>
      <c r="K257" s="28" t="s">
        <v>693</v>
      </c>
      <c r="L257" s="28" t="s">
        <v>212</v>
      </c>
      <c r="M257" s="28" t="s">
        <v>452</v>
      </c>
      <c r="N257" s="28" t="s">
        <v>255</v>
      </c>
      <c r="P257" s="28" t="s">
        <v>690</v>
      </c>
      <c r="S257" s="28" t="s">
        <v>347</v>
      </c>
      <c r="T257" s="28" t="s">
        <v>327</v>
      </c>
      <c r="U257" s="28" t="s">
        <v>266</v>
      </c>
      <c r="Z257" s="28" t="s">
        <v>838</v>
      </c>
      <c r="AC257" s="28" t="s">
        <v>840</v>
      </c>
    </row>
    <row r="258" spans="3:30" x14ac:dyDescent="0.25">
      <c r="C258" s="28" t="s">
        <v>276</v>
      </c>
      <c r="E258" s="28" t="s">
        <v>497</v>
      </c>
      <c r="H258" s="28" t="s">
        <v>692</v>
      </c>
      <c r="I258" s="28" t="s">
        <v>966</v>
      </c>
      <c r="J258" s="28" t="s">
        <v>368</v>
      </c>
      <c r="M258" s="28" t="s">
        <v>452</v>
      </c>
      <c r="O258" s="28" t="s">
        <v>765</v>
      </c>
      <c r="P258" s="28" t="s">
        <v>691</v>
      </c>
      <c r="Q258" s="28" t="s">
        <v>419</v>
      </c>
      <c r="R258" s="28" t="s">
        <v>701</v>
      </c>
      <c r="S258" s="28" t="s">
        <v>334</v>
      </c>
      <c r="T258" s="28" t="s">
        <v>347</v>
      </c>
      <c r="U258" s="28" t="s">
        <v>275</v>
      </c>
      <c r="V258" s="28" t="s">
        <v>1645</v>
      </c>
      <c r="W258" s="28" t="s">
        <v>544</v>
      </c>
      <c r="X258" s="28" t="s">
        <v>1725</v>
      </c>
      <c r="Y258" s="28" t="s">
        <v>839</v>
      </c>
      <c r="AA258" s="28" t="s">
        <v>861</v>
      </c>
      <c r="AB258" s="28" t="s">
        <v>861</v>
      </c>
      <c r="AD258" s="28" t="s">
        <v>841</v>
      </c>
    </row>
    <row r="259" spans="3:30" x14ac:dyDescent="0.25">
      <c r="D259" s="28" t="s">
        <v>160</v>
      </c>
      <c r="E259" s="28" t="s">
        <v>498</v>
      </c>
      <c r="F259" s="28" t="s">
        <v>433</v>
      </c>
      <c r="G259" s="28" t="s">
        <v>443</v>
      </c>
      <c r="H259" s="28" t="s">
        <v>698</v>
      </c>
      <c r="K259" s="28" t="s">
        <v>694</v>
      </c>
      <c r="L259" s="28" t="s">
        <v>73</v>
      </c>
      <c r="N259" s="28" t="s">
        <v>419</v>
      </c>
      <c r="Q259" s="28" t="s">
        <v>243</v>
      </c>
      <c r="S259" s="28" t="s">
        <v>337</v>
      </c>
      <c r="T259" s="28" t="s">
        <v>334</v>
      </c>
      <c r="Y259" s="28" t="s">
        <v>840</v>
      </c>
      <c r="Z259" s="28" t="s">
        <v>836</v>
      </c>
      <c r="AC259" s="28" t="s">
        <v>841</v>
      </c>
      <c r="AD259" s="28" t="s">
        <v>842</v>
      </c>
    </row>
    <row r="260" spans="3:30" x14ac:dyDescent="0.25">
      <c r="C260" s="28" t="s">
        <v>277</v>
      </c>
      <c r="D260" s="28" t="s">
        <v>160</v>
      </c>
      <c r="E260" s="28" t="s">
        <v>499</v>
      </c>
      <c r="H260" s="28" t="s">
        <v>699</v>
      </c>
      <c r="I260" s="28" t="s">
        <v>967</v>
      </c>
      <c r="J260" s="28" t="s">
        <v>996</v>
      </c>
      <c r="K260" s="28" t="s">
        <v>695</v>
      </c>
      <c r="L260" s="28" t="s">
        <v>43</v>
      </c>
      <c r="M260" s="28" t="s">
        <v>849</v>
      </c>
      <c r="N260" s="28" t="s">
        <v>419</v>
      </c>
      <c r="O260" s="28" t="s">
        <v>363</v>
      </c>
      <c r="P260" s="28" t="s">
        <v>1344</v>
      </c>
      <c r="Q260" s="28" t="s">
        <v>244</v>
      </c>
      <c r="R260" s="28" t="s">
        <v>702</v>
      </c>
      <c r="S260" s="28" t="s">
        <v>348</v>
      </c>
      <c r="T260" s="28" t="s">
        <v>337</v>
      </c>
      <c r="U260" s="28" t="s">
        <v>1604</v>
      </c>
      <c r="V260" s="28" t="s">
        <v>1646</v>
      </c>
      <c r="W260" s="28" t="s">
        <v>241</v>
      </c>
      <c r="X260" s="28" t="s">
        <v>1783</v>
      </c>
      <c r="AA260" s="28" t="s">
        <v>839</v>
      </c>
      <c r="AB260" s="28" t="s">
        <v>839</v>
      </c>
      <c r="AC260" s="28" t="s">
        <v>842</v>
      </c>
    </row>
    <row r="261" spans="3:30" x14ac:dyDescent="0.25">
      <c r="C261" s="28" t="s">
        <v>278</v>
      </c>
      <c r="D261" s="28" t="s">
        <v>160</v>
      </c>
      <c r="E261" s="28" t="s">
        <v>499</v>
      </c>
      <c r="F261" s="28" t="s">
        <v>243</v>
      </c>
      <c r="G261" s="28" t="s">
        <v>241</v>
      </c>
      <c r="H261" s="28" t="s">
        <v>700</v>
      </c>
      <c r="M261" s="28" t="s">
        <v>850</v>
      </c>
      <c r="N261" s="28" t="s">
        <v>243</v>
      </c>
      <c r="P261" s="28" t="s">
        <v>1345</v>
      </c>
      <c r="S261" s="28" t="s">
        <v>349</v>
      </c>
      <c r="T261" s="28" t="s">
        <v>348</v>
      </c>
      <c r="Y261" s="28" t="s">
        <v>841</v>
      </c>
      <c r="Z261" s="28" t="s">
        <v>861</v>
      </c>
      <c r="AA261" s="28" t="s">
        <v>840</v>
      </c>
      <c r="AB261" s="28" t="s">
        <v>840</v>
      </c>
      <c r="AD261" s="28" t="s">
        <v>843</v>
      </c>
    </row>
    <row r="262" spans="3:30" x14ac:dyDescent="0.25">
      <c r="C262" s="28" t="s">
        <v>279</v>
      </c>
      <c r="E262" s="28" t="s">
        <v>497</v>
      </c>
      <c r="I262" s="28" t="s">
        <v>968</v>
      </c>
      <c r="J262" s="28" t="s">
        <v>704</v>
      </c>
      <c r="K262" s="28" t="s">
        <v>692</v>
      </c>
      <c r="L262" s="28" t="s">
        <v>784</v>
      </c>
      <c r="M262" s="28" t="s">
        <v>1141</v>
      </c>
      <c r="N262" s="28" t="s">
        <v>244</v>
      </c>
      <c r="O262" s="28" t="s">
        <v>82</v>
      </c>
      <c r="Q262" s="28" t="s">
        <v>160</v>
      </c>
      <c r="R262" s="28" t="s">
        <v>703</v>
      </c>
      <c r="S262" s="28" t="s">
        <v>340</v>
      </c>
      <c r="T262" s="28" t="s">
        <v>349</v>
      </c>
      <c r="U262" s="28" t="s">
        <v>1605</v>
      </c>
      <c r="V262" s="28" t="s">
        <v>1647</v>
      </c>
      <c r="W262" s="28" t="s">
        <v>433</v>
      </c>
      <c r="X262" s="28" t="s">
        <v>1784</v>
      </c>
      <c r="Y262" s="28" t="s">
        <v>842</v>
      </c>
      <c r="AC262" s="28" t="s">
        <v>843</v>
      </c>
      <c r="AD262" s="28" t="s">
        <v>844</v>
      </c>
    </row>
    <row r="263" spans="3:30" x14ac:dyDescent="0.25">
      <c r="D263" s="28" t="s">
        <v>212</v>
      </c>
      <c r="E263" s="28" t="s">
        <v>497</v>
      </c>
      <c r="F263" s="28" t="s">
        <v>285</v>
      </c>
      <c r="G263" s="28" t="s">
        <v>441</v>
      </c>
      <c r="H263" s="28" t="s">
        <v>701</v>
      </c>
      <c r="J263" s="28" t="s">
        <v>705</v>
      </c>
      <c r="K263" s="28" t="s">
        <v>696</v>
      </c>
      <c r="L263" s="28" t="s">
        <v>785</v>
      </c>
      <c r="M263" s="28" t="s">
        <v>1142</v>
      </c>
      <c r="N263" s="28" t="s">
        <v>244</v>
      </c>
      <c r="P263" s="28" t="s">
        <v>1346</v>
      </c>
      <c r="Q263" s="28" t="s">
        <v>244</v>
      </c>
      <c r="R263" s="28" t="s">
        <v>368</v>
      </c>
      <c r="T263" s="28" t="s">
        <v>340</v>
      </c>
      <c r="Z263" s="28" t="s">
        <v>839</v>
      </c>
      <c r="AA263" s="28" t="s">
        <v>841</v>
      </c>
      <c r="AB263" s="28" t="s">
        <v>841</v>
      </c>
      <c r="AC263" s="28" t="s">
        <v>844</v>
      </c>
    </row>
    <row r="264" spans="3:30" x14ac:dyDescent="0.25">
      <c r="C264" s="28" t="s">
        <v>280</v>
      </c>
      <c r="D264" s="28" t="s">
        <v>212</v>
      </c>
      <c r="E264" s="28" t="s">
        <v>497</v>
      </c>
      <c r="I264" s="28" t="s">
        <v>82</v>
      </c>
      <c r="M264" s="28" t="s">
        <v>1143</v>
      </c>
      <c r="N264" s="28" t="s">
        <v>160</v>
      </c>
      <c r="O264" s="28" t="s">
        <v>766</v>
      </c>
      <c r="P264" s="28" t="s">
        <v>1347</v>
      </c>
      <c r="Q264" s="28" t="s">
        <v>244</v>
      </c>
      <c r="S264" s="28" t="s">
        <v>350</v>
      </c>
      <c r="U264" s="28" t="s">
        <v>1606</v>
      </c>
      <c r="V264" s="28" t="s">
        <v>1648</v>
      </c>
      <c r="W264" s="28" t="s">
        <v>243</v>
      </c>
      <c r="X264" s="28" t="s">
        <v>502</v>
      </c>
      <c r="Y264" s="28" t="s">
        <v>843</v>
      </c>
      <c r="Z264" s="28" t="s">
        <v>840</v>
      </c>
      <c r="AA264" s="28" t="s">
        <v>842</v>
      </c>
      <c r="AB264" s="28" t="s">
        <v>842</v>
      </c>
      <c r="AD264" s="28" t="s">
        <v>867</v>
      </c>
    </row>
    <row r="265" spans="3:30" x14ac:dyDescent="0.25">
      <c r="C265" s="28" t="s">
        <v>281</v>
      </c>
      <c r="D265" s="28" t="s">
        <v>212</v>
      </c>
      <c r="E265" s="28" t="s">
        <v>497</v>
      </c>
      <c r="F265" s="28" t="s">
        <v>545</v>
      </c>
      <c r="G265" s="28" t="s">
        <v>545</v>
      </c>
      <c r="H265" s="28" t="s">
        <v>702</v>
      </c>
      <c r="J265" s="28" t="s">
        <v>988</v>
      </c>
      <c r="K265" s="28" t="s">
        <v>694</v>
      </c>
      <c r="L265" s="28" t="s">
        <v>780</v>
      </c>
      <c r="N265" s="28" t="s">
        <v>1192</v>
      </c>
      <c r="P265" s="28" t="s">
        <v>1348</v>
      </c>
      <c r="R265" s="28" t="s">
        <v>1481</v>
      </c>
      <c r="S265" s="28" t="s">
        <v>1550</v>
      </c>
      <c r="T265" s="28" t="s">
        <v>350</v>
      </c>
      <c r="Y265" s="28" t="s">
        <v>844</v>
      </c>
      <c r="AC265" s="28" t="s">
        <v>867</v>
      </c>
      <c r="AD265" s="28" t="s">
        <v>868</v>
      </c>
    </row>
    <row r="266" spans="3:30" x14ac:dyDescent="0.25">
      <c r="C266" s="28" t="s">
        <v>282</v>
      </c>
      <c r="E266" s="28" t="s">
        <v>498</v>
      </c>
      <c r="I266" s="28" t="s">
        <v>766</v>
      </c>
      <c r="J266" s="28" t="s">
        <v>991</v>
      </c>
      <c r="K266" s="28" t="s">
        <v>697</v>
      </c>
      <c r="L266" s="28" t="s">
        <v>786</v>
      </c>
      <c r="M266" s="28" t="s">
        <v>829</v>
      </c>
      <c r="O266" s="28" t="s">
        <v>767</v>
      </c>
      <c r="Q266" s="28" t="s">
        <v>1411</v>
      </c>
      <c r="S266" s="28" t="s">
        <v>1551</v>
      </c>
      <c r="T266" s="28" t="s">
        <v>1550</v>
      </c>
      <c r="U266" s="28" t="s">
        <v>1607</v>
      </c>
      <c r="V266" s="28" t="s">
        <v>333</v>
      </c>
      <c r="W266" s="28" t="s">
        <v>285</v>
      </c>
      <c r="X266" s="28" t="s">
        <v>1602</v>
      </c>
      <c r="Z266" s="28" t="s">
        <v>841</v>
      </c>
      <c r="AA266" s="28" t="s">
        <v>843</v>
      </c>
      <c r="AB266" s="28" t="s">
        <v>843</v>
      </c>
      <c r="AC266" s="28" t="s">
        <v>868</v>
      </c>
    </row>
    <row r="267" spans="3:30" x14ac:dyDescent="0.25">
      <c r="D267" s="28" t="s">
        <v>212</v>
      </c>
      <c r="E267" s="28" t="s">
        <v>499</v>
      </c>
      <c r="F267" s="28" t="s">
        <v>435</v>
      </c>
      <c r="G267" s="28" t="s">
        <v>442</v>
      </c>
      <c r="H267" s="28" t="s">
        <v>703</v>
      </c>
      <c r="J267" s="28" t="s">
        <v>987</v>
      </c>
      <c r="N267" s="28" t="s">
        <v>769</v>
      </c>
      <c r="P267" s="28" t="s">
        <v>1349</v>
      </c>
      <c r="R267" s="28" t="s">
        <v>704</v>
      </c>
      <c r="S267" s="28" t="s">
        <v>1552</v>
      </c>
      <c r="T267" s="28" t="s">
        <v>1551</v>
      </c>
      <c r="V267" s="28" t="s">
        <v>334</v>
      </c>
      <c r="Y267" s="28" t="s">
        <v>867</v>
      </c>
      <c r="Z267" s="28" t="s">
        <v>842</v>
      </c>
      <c r="AA267" s="28" t="s">
        <v>844</v>
      </c>
      <c r="AB267" s="28" t="s">
        <v>844</v>
      </c>
      <c r="AD267" s="28" t="s">
        <v>845</v>
      </c>
    </row>
    <row r="268" spans="3:30" x14ac:dyDescent="0.25">
      <c r="C268" s="28" t="s">
        <v>283</v>
      </c>
      <c r="D268" s="28" t="s">
        <v>212</v>
      </c>
      <c r="E268" s="28" t="s">
        <v>499</v>
      </c>
      <c r="H268" s="28" t="s">
        <v>368</v>
      </c>
      <c r="I268" s="28" t="s">
        <v>767</v>
      </c>
      <c r="J268" s="28" t="s">
        <v>984</v>
      </c>
      <c r="K268" s="28" t="s">
        <v>692</v>
      </c>
      <c r="L268" s="28" t="s">
        <v>787</v>
      </c>
      <c r="M268" s="28" t="s">
        <v>830</v>
      </c>
      <c r="O268" s="28" t="s">
        <v>768</v>
      </c>
      <c r="P268" s="28" t="s">
        <v>1350</v>
      </c>
      <c r="Q268" s="28" t="s">
        <v>433</v>
      </c>
      <c r="R268" s="28" t="s">
        <v>705</v>
      </c>
      <c r="T268" s="28" t="s">
        <v>1552</v>
      </c>
      <c r="U268" s="28" t="s">
        <v>1608</v>
      </c>
      <c r="W268" s="28" t="s">
        <v>1678</v>
      </c>
      <c r="X268" s="28" t="s">
        <v>1724</v>
      </c>
      <c r="Y268" s="28" t="s">
        <v>868</v>
      </c>
      <c r="AC268" s="28" t="s">
        <v>845</v>
      </c>
      <c r="AD268" s="28" t="s">
        <v>846</v>
      </c>
    </row>
    <row r="269" spans="3:30" x14ac:dyDescent="0.25">
      <c r="D269" s="28" t="s">
        <v>212</v>
      </c>
      <c r="F269" s="28" t="s">
        <v>545</v>
      </c>
      <c r="G269" s="28" t="s">
        <v>608</v>
      </c>
      <c r="J269" s="28" t="s">
        <v>994</v>
      </c>
      <c r="K269" s="28" t="s">
        <v>698</v>
      </c>
      <c r="M269" s="28" t="s">
        <v>831</v>
      </c>
      <c r="N269" s="28" t="s">
        <v>1193</v>
      </c>
      <c r="S269" s="28" t="s">
        <v>354</v>
      </c>
      <c r="V269" s="28" t="s">
        <v>336</v>
      </c>
      <c r="Z269" s="28" t="s">
        <v>843</v>
      </c>
      <c r="AA269" s="28" t="s">
        <v>867</v>
      </c>
      <c r="AB269" s="28" t="s">
        <v>867</v>
      </c>
      <c r="AC269" s="28" t="s">
        <v>846</v>
      </c>
    </row>
    <row r="270" spans="3:30" x14ac:dyDescent="0.25">
      <c r="C270" s="28" t="s">
        <v>284</v>
      </c>
      <c r="E270" s="28" t="s">
        <v>496</v>
      </c>
      <c r="H270" s="28" t="s">
        <v>654</v>
      </c>
      <c r="I270" s="28" t="s">
        <v>768</v>
      </c>
      <c r="K270" s="28" t="s">
        <v>699</v>
      </c>
      <c r="L270" s="28" t="s">
        <v>788</v>
      </c>
      <c r="O270" s="28" t="s">
        <v>674</v>
      </c>
      <c r="P270" s="28" t="s">
        <v>1346</v>
      </c>
      <c r="Q270" s="28" t="s">
        <v>243</v>
      </c>
      <c r="R270" s="28" t="s">
        <v>1472</v>
      </c>
      <c r="S270" s="28" t="s">
        <v>1541</v>
      </c>
      <c r="T270" s="28" t="s">
        <v>354</v>
      </c>
      <c r="U270" s="28" t="s">
        <v>1609</v>
      </c>
      <c r="V270" s="28" t="s">
        <v>337</v>
      </c>
      <c r="W270" s="28" t="s">
        <v>420</v>
      </c>
      <c r="X270" s="28" t="s">
        <v>420</v>
      </c>
      <c r="Y270" s="28" t="s">
        <v>845</v>
      </c>
      <c r="Z270" s="28" t="s">
        <v>844</v>
      </c>
      <c r="AA270" s="28" t="s">
        <v>868</v>
      </c>
      <c r="AB270" s="28" t="s">
        <v>868</v>
      </c>
      <c r="AD270" s="28" t="s">
        <v>847</v>
      </c>
    </row>
    <row r="271" spans="3:30" x14ac:dyDescent="0.25">
      <c r="C271" s="28" t="s">
        <v>285</v>
      </c>
      <c r="D271" s="28" t="s">
        <v>215</v>
      </c>
      <c r="E271" s="28" t="s">
        <v>500</v>
      </c>
      <c r="F271" s="28" t="s">
        <v>160</v>
      </c>
      <c r="G271" s="28" t="s">
        <v>545</v>
      </c>
      <c r="J271" s="28" t="s">
        <v>706</v>
      </c>
      <c r="K271" s="28" t="s">
        <v>700</v>
      </c>
      <c r="L271" s="28" t="s">
        <v>788</v>
      </c>
      <c r="M271" s="28" t="s">
        <v>832</v>
      </c>
      <c r="N271" s="28" t="s">
        <v>676</v>
      </c>
      <c r="P271" s="28" t="s">
        <v>1347</v>
      </c>
      <c r="R271" s="28" t="s">
        <v>1478</v>
      </c>
      <c r="S271" s="28" t="s">
        <v>1541</v>
      </c>
      <c r="T271" s="28" t="s">
        <v>1541</v>
      </c>
      <c r="X271" s="28" t="s">
        <v>420</v>
      </c>
      <c r="Y271" s="28" t="s">
        <v>846</v>
      </c>
      <c r="AC271" s="28" t="s">
        <v>847</v>
      </c>
      <c r="AD271" s="28" t="s">
        <v>848</v>
      </c>
    </row>
    <row r="272" spans="3:30" x14ac:dyDescent="0.25">
      <c r="E272" s="28" t="s">
        <v>500</v>
      </c>
      <c r="H272" s="28" t="s">
        <v>704</v>
      </c>
      <c r="I272" s="28" t="s">
        <v>674</v>
      </c>
      <c r="J272" s="28" t="s">
        <v>707</v>
      </c>
      <c r="M272" s="28" t="s">
        <v>833</v>
      </c>
      <c r="N272" s="28" t="s">
        <v>982</v>
      </c>
      <c r="O272" s="28" t="s">
        <v>769</v>
      </c>
      <c r="Q272" s="28" t="s">
        <v>285</v>
      </c>
      <c r="R272" s="28" t="s">
        <v>1475</v>
      </c>
      <c r="S272" s="28" t="s">
        <v>1541</v>
      </c>
      <c r="T272" s="28" t="s">
        <v>1541</v>
      </c>
      <c r="U272" s="28" t="s">
        <v>160</v>
      </c>
      <c r="V272" s="28" t="s">
        <v>339</v>
      </c>
      <c r="W272" s="28" t="s">
        <v>565</v>
      </c>
      <c r="Z272" s="28" t="s">
        <v>867</v>
      </c>
      <c r="AA272" s="28" t="s">
        <v>845</v>
      </c>
      <c r="AB272" s="28" t="s">
        <v>845</v>
      </c>
      <c r="AC272" s="28" t="s">
        <v>848</v>
      </c>
    </row>
    <row r="273" spans="3:30" x14ac:dyDescent="0.25">
      <c r="C273" s="28" t="s">
        <v>286</v>
      </c>
      <c r="D273" s="28" t="s">
        <v>421</v>
      </c>
      <c r="E273" s="28" t="s">
        <v>500</v>
      </c>
      <c r="F273" s="28" t="s">
        <v>212</v>
      </c>
      <c r="G273" s="28" t="s">
        <v>160</v>
      </c>
      <c r="H273" s="28" t="s">
        <v>705</v>
      </c>
      <c r="J273" s="28" t="s">
        <v>708</v>
      </c>
      <c r="K273" s="28" t="s">
        <v>701</v>
      </c>
      <c r="L273" s="28" t="s">
        <v>789</v>
      </c>
      <c r="N273" s="28" t="s">
        <v>1180</v>
      </c>
      <c r="P273" s="28" t="s">
        <v>692</v>
      </c>
      <c r="R273" s="28" t="s">
        <v>1476</v>
      </c>
      <c r="T273" s="28" t="s">
        <v>1541</v>
      </c>
      <c r="V273" s="28" t="s">
        <v>340</v>
      </c>
      <c r="X273" s="28" t="s">
        <v>1785</v>
      </c>
      <c r="Y273" s="28" t="s">
        <v>847</v>
      </c>
      <c r="Z273" s="28" t="s">
        <v>868</v>
      </c>
      <c r="AA273" s="28" t="s">
        <v>846</v>
      </c>
      <c r="AB273" s="28" t="s">
        <v>846</v>
      </c>
      <c r="AD273" s="28" t="s">
        <v>849</v>
      </c>
    </row>
    <row r="274" spans="3:30" x14ac:dyDescent="0.25">
      <c r="E274" s="28" t="s">
        <v>500</v>
      </c>
      <c r="I274" s="28" t="s">
        <v>769</v>
      </c>
      <c r="J274" s="28" t="s">
        <v>709</v>
      </c>
      <c r="M274" s="28" t="s">
        <v>834</v>
      </c>
      <c r="O274" s="28" t="s">
        <v>770</v>
      </c>
      <c r="P274" s="28" t="s">
        <v>693</v>
      </c>
      <c r="Q274" s="28" t="s">
        <v>243</v>
      </c>
      <c r="S274" s="28" t="s">
        <v>1553</v>
      </c>
      <c r="U274" s="28" t="s">
        <v>1610</v>
      </c>
      <c r="W274" s="28" t="s">
        <v>1704</v>
      </c>
      <c r="Y274" s="28" t="s">
        <v>848</v>
      </c>
      <c r="AC274" s="28" t="s">
        <v>849</v>
      </c>
      <c r="AD274" s="28" t="s">
        <v>850</v>
      </c>
    </row>
    <row r="275" spans="3:30" x14ac:dyDescent="0.25">
      <c r="C275" s="28" t="s">
        <v>287</v>
      </c>
      <c r="D275" s="28" t="s">
        <v>415</v>
      </c>
      <c r="E275" s="28" t="s">
        <v>501</v>
      </c>
      <c r="F275" s="28" t="s">
        <v>545</v>
      </c>
      <c r="G275" s="28" t="s">
        <v>212</v>
      </c>
      <c r="H275" s="28" t="s">
        <v>653</v>
      </c>
      <c r="K275" s="28" t="s">
        <v>702</v>
      </c>
      <c r="L275" s="28" t="s">
        <v>777</v>
      </c>
      <c r="M275" s="28" t="s">
        <v>835</v>
      </c>
      <c r="N275" s="28" t="s">
        <v>285</v>
      </c>
      <c r="O275" s="28" t="s">
        <v>1295</v>
      </c>
      <c r="Q275" s="28" t="s">
        <v>160</v>
      </c>
      <c r="R275" s="28" t="s">
        <v>706</v>
      </c>
      <c r="T275" s="28" t="s">
        <v>1553</v>
      </c>
      <c r="U275" s="28" t="s">
        <v>1611</v>
      </c>
      <c r="V275" s="28" t="s">
        <v>341</v>
      </c>
      <c r="X275" s="28" t="s">
        <v>420</v>
      </c>
      <c r="Z275" s="28" t="s">
        <v>845</v>
      </c>
      <c r="AA275" s="28" t="s">
        <v>847</v>
      </c>
      <c r="AB275" s="28" t="s">
        <v>847</v>
      </c>
      <c r="AC275" s="28" t="s">
        <v>850</v>
      </c>
    </row>
    <row r="276" spans="3:30" x14ac:dyDescent="0.25">
      <c r="C276" s="28" t="s">
        <v>288</v>
      </c>
      <c r="E276" s="28" t="s">
        <v>501</v>
      </c>
      <c r="F276" s="28" t="s">
        <v>160</v>
      </c>
      <c r="H276" s="28" t="s">
        <v>657</v>
      </c>
      <c r="I276" s="28" t="s">
        <v>951</v>
      </c>
      <c r="J276" s="28" t="s">
        <v>160</v>
      </c>
      <c r="L276" s="28" t="s">
        <v>777</v>
      </c>
      <c r="P276" s="28" t="s">
        <v>694</v>
      </c>
      <c r="R276" s="28" t="s">
        <v>707</v>
      </c>
      <c r="S276" s="28" t="s">
        <v>1541</v>
      </c>
      <c r="U276" s="28" t="s">
        <v>1612</v>
      </c>
      <c r="V276" s="28" t="s">
        <v>797</v>
      </c>
      <c r="W276" s="28" t="s">
        <v>419</v>
      </c>
      <c r="X276" s="28" t="s">
        <v>420</v>
      </c>
      <c r="Y276" s="28" t="s">
        <v>849</v>
      </c>
      <c r="Z276" s="28" t="s">
        <v>846</v>
      </c>
      <c r="AA276" s="28" t="s">
        <v>848</v>
      </c>
      <c r="AB276" s="28" t="s">
        <v>848</v>
      </c>
      <c r="AD276" s="28" t="s">
        <v>830</v>
      </c>
    </row>
    <row r="277" spans="3:30" x14ac:dyDescent="0.25">
      <c r="D277" s="28" t="s">
        <v>421</v>
      </c>
      <c r="E277" s="28" t="s">
        <v>501</v>
      </c>
      <c r="G277" s="28" t="s">
        <v>545</v>
      </c>
      <c r="H277" s="28" t="s">
        <v>656</v>
      </c>
      <c r="J277" s="28" t="s">
        <v>160</v>
      </c>
      <c r="K277" s="28" t="s">
        <v>703</v>
      </c>
      <c r="M277" s="28" t="s">
        <v>836</v>
      </c>
      <c r="N277" s="28" t="s">
        <v>1194</v>
      </c>
      <c r="O277" s="28" t="s">
        <v>772</v>
      </c>
      <c r="P277" s="28" t="s">
        <v>695</v>
      </c>
      <c r="Q277" s="28" t="s">
        <v>212</v>
      </c>
      <c r="R277" s="28" t="s">
        <v>708</v>
      </c>
      <c r="T277" s="28" t="s">
        <v>1541</v>
      </c>
      <c r="U277" s="28" t="s">
        <v>1613</v>
      </c>
      <c r="V277" s="28" t="s">
        <v>798</v>
      </c>
      <c r="W277" s="28" t="s">
        <v>212</v>
      </c>
      <c r="Y277" s="28" t="s">
        <v>850</v>
      </c>
      <c r="AC277" s="28" t="s">
        <v>830</v>
      </c>
      <c r="AD277" s="28" t="s">
        <v>831</v>
      </c>
    </row>
    <row r="278" spans="3:30" x14ac:dyDescent="0.25">
      <c r="C278" s="28" t="s">
        <v>289</v>
      </c>
      <c r="E278" s="28" t="s">
        <v>500</v>
      </c>
      <c r="F278" s="28" t="s">
        <v>419</v>
      </c>
      <c r="H278" s="28" t="s">
        <v>667</v>
      </c>
      <c r="I278" s="28" t="s">
        <v>969</v>
      </c>
      <c r="J278" s="28" t="s">
        <v>160</v>
      </c>
      <c r="K278" s="28" t="s">
        <v>368</v>
      </c>
      <c r="L278" s="28" t="s">
        <v>790</v>
      </c>
      <c r="O278" s="28" t="s">
        <v>773</v>
      </c>
      <c r="R278" s="28" t="s">
        <v>709</v>
      </c>
      <c r="S278" s="28" t="s">
        <v>1554</v>
      </c>
      <c r="U278" s="28" t="s">
        <v>1614</v>
      </c>
      <c r="V278" s="28" t="s">
        <v>799</v>
      </c>
      <c r="X278" s="28" t="s">
        <v>1786</v>
      </c>
      <c r="Z278" s="28" t="s">
        <v>847</v>
      </c>
      <c r="AA278" s="28" t="s">
        <v>849</v>
      </c>
      <c r="AB278" s="28" t="s">
        <v>849</v>
      </c>
      <c r="AC278" s="28" t="s">
        <v>831</v>
      </c>
    </row>
    <row r="279" spans="3:30" x14ac:dyDescent="0.25">
      <c r="D279" s="28" t="s">
        <v>215</v>
      </c>
      <c r="E279" s="28" t="s">
        <v>500</v>
      </c>
      <c r="F279" s="28" t="s">
        <v>212</v>
      </c>
      <c r="G279" s="28" t="s">
        <v>419</v>
      </c>
      <c r="H279" s="28" t="s">
        <v>664</v>
      </c>
      <c r="J279" s="28" t="s">
        <v>160</v>
      </c>
      <c r="L279" s="28" t="s">
        <v>791</v>
      </c>
      <c r="M279" s="28" t="s">
        <v>837</v>
      </c>
      <c r="N279" s="28" t="s">
        <v>1171</v>
      </c>
      <c r="O279" s="28" t="s">
        <v>774</v>
      </c>
      <c r="P279" s="28" t="s">
        <v>723</v>
      </c>
      <c r="Q279" s="28" t="s">
        <v>1399</v>
      </c>
      <c r="T279" s="28" t="s">
        <v>1554</v>
      </c>
      <c r="U279" s="28" t="s">
        <v>1615</v>
      </c>
      <c r="W279" s="28" t="s">
        <v>420</v>
      </c>
      <c r="Y279" s="28" t="s">
        <v>830</v>
      </c>
      <c r="Z279" s="28" t="s">
        <v>848</v>
      </c>
      <c r="AA279" s="28" t="s">
        <v>850</v>
      </c>
      <c r="AB279" s="28" t="s">
        <v>850</v>
      </c>
      <c r="AD279" s="28" t="s">
        <v>832</v>
      </c>
    </row>
    <row r="280" spans="3:30" x14ac:dyDescent="0.25">
      <c r="C280" s="28" t="s">
        <v>290</v>
      </c>
      <c r="E280" s="28" t="s">
        <v>500</v>
      </c>
      <c r="G280" s="28" t="s">
        <v>160</v>
      </c>
      <c r="H280" s="28" t="s">
        <v>669</v>
      </c>
      <c r="I280" s="28" t="s">
        <v>970</v>
      </c>
      <c r="J280" s="28" t="s">
        <v>160</v>
      </c>
      <c r="K280" s="28" t="s">
        <v>1058</v>
      </c>
      <c r="O280" s="28" t="s">
        <v>775</v>
      </c>
      <c r="R280" s="28" t="s">
        <v>160</v>
      </c>
      <c r="S280" s="28" t="s">
        <v>1555</v>
      </c>
      <c r="U280" s="28" t="s">
        <v>1616</v>
      </c>
      <c r="V280" s="28" t="s">
        <v>1649</v>
      </c>
      <c r="X280" s="28" t="s">
        <v>1787</v>
      </c>
      <c r="Y280" s="28" t="s">
        <v>831</v>
      </c>
      <c r="AC280" s="28" t="s">
        <v>832</v>
      </c>
      <c r="AD280" s="28" t="s">
        <v>833</v>
      </c>
    </row>
    <row r="281" spans="3:30" x14ac:dyDescent="0.25">
      <c r="C281" s="28" t="s">
        <v>291</v>
      </c>
      <c r="D281" s="28" t="s">
        <v>425</v>
      </c>
      <c r="E281" s="28" t="s">
        <v>500</v>
      </c>
      <c r="F281" s="28" t="s">
        <v>434</v>
      </c>
      <c r="L281" s="28" t="s">
        <v>792</v>
      </c>
      <c r="M281" s="28" t="s">
        <v>838</v>
      </c>
      <c r="N281" s="28" t="s">
        <v>1170</v>
      </c>
      <c r="P281" s="28" t="s">
        <v>724</v>
      </c>
      <c r="Q281" s="28" t="s">
        <v>829</v>
      </c>
      <c r="R281" s="28" t="s">
        <v>160</v>
      </c>
      <c r="S281" s="28" t="s">
        <v>1556</v>
      </c>
      <c r="T281" s="28" t="s">
        <v>1555</v>
      </c>
      <c r="U281" s="28" t="s">
        <v>1617</v>
      </c>
      <c r="V281" s="28" t="s">
        <v>334</v>
      </c>
      <c r="W281" s="28" t="s">
        <v>160</v>
      </c>
      <c r="Z281" s="28" t="s">
        <v>849</v>
      </c>
      <c r="AA281" s="28" t="s">
        <v>830</v>
      </c>
      <c r="AB281" s="28" t="s">
        <v>830</v>
      </c>
      <c r="AC281" s="28" t="s">
        <v>833</v>
      </c>
    </row>
    <row r="282" spans="3:30" x14ac:dyDescent="0.25">
      <c r="C282" s="28" t="s">
        <v>292</v>
      </c>
      <c r="D282" s="28" t="s">
        <v>390</v>
      </c>
      <c r="E282" s="28" t="s">
        <v>501</v>
      </c>
      <c r="G282" s="28" t="s">
        <v>434</v>
      </c>
      <c r="H282" s="28" t="s">
        <v>706</v>
      </c>
      <c r="I282" s="28" t="s">
        <v>949</v>
      </c>
      <c r="J282" s="28" t="s">
        <v>684</v>
      </c>
      <c r="K282" s="28" t="s">
        <v>704</v>
      </c>
      <c r="L282" s="28" t="s">
        <v>792</v>
      </c>
      <c r="O282" s="28" t="s">
        <v>776</v>
      </c>
      <c r="P282" s="28" t="s">
        <v>725</v>
      </c>
      <c r="R282" s="28" t="s">
        <v>160</v>
      </c>
      <c r="T282" s="28" t="s">
        <v>1556</v>
      </c>
      <c r="U282" s="28" t="s">
        <v>1618</v>
      </c>
      <c r="V282" s="28" t="s">
        <v>1643</v>
      </c>
      <c r="X282" s="28" t="s">
        <v>1734</v>
      </c>
      <c r="Y282" s="28" t="s">
        <v>832</v>
      </c>
      <c r="Z282" s="28" t="s">
        <v>850</v>
      </c>
      <c r="AA282" s="28" t="s">
        <v>831</v>
      </c>
      <c r="AB282" s="28" t="s">
        <v>831</v>
      </c>
      <c r="AD282" s="28" t="s">
        <v>834</v>
      </c>
    </row>
    <row r="283" spans="3:30" x14ac:dyDescent="0.25">
      <c r="C283" s="28" t="s">
        <v>293</v>
      </c>
      <c r="E283" s="28" t="s">
        <v>501</v>
      </c>
      <c r="F283" s="28" t="s">
        <v>435</v>
      </c>
      <c r="H283" s="28" t="s">
        <v>707</v>
      </c>
      <c r="J283" s="28" t="s">
        <v>196</v>
      </c>
      <c r="K283" s="28" t="s">
        <v>705</v>
      </c>
      <c r="M283" s="28" t="s">
        <v>1135</v>
      </c>
      <c r="N283" s="28" t="s">
        <v>1195</v>
      </c>
      <c r="O283" s="28" t="s">
        <v>777</v>
      </c>
      <c r="Q283" s="28" t="s">
        <v>838</v>
      </c>
      <c r="R283" s="28" t="s">
        <v>160</v>
      </c>
      <c r="S283" s="28" t="s">
        <v>1557</v>
      </c>
      <c r="U283" s="28" t="s">
        <v>1619</v>
      </c>
      <c r="V283" s="28" t="s">
        <v>337</v>
      </c>
      <c r="W283" s="28" t="s">
        <v>419</v>
      </c>
      <c r="Y283" s="28" t="s">
        <v>833</v>
      </c>
      <c r="AC283" s="28" t="s">
        <v>834</v>
      </c>
      <c r="AD283" s="28" t="s">
        <v>835</v>
      </c>
    </row>
    <row r="284" spans="3:30" x14ac:dyDescent="0.25">
      <c r="C284" s="28" t="s">
        <v>294</v>
      </c>
      <c r="D284" s="28" t="s">
        <v>373</v>
      </c>
      <c r="E284" s="28" t="s">
        <v>501</v>
      </c>
      <c r="G284" s="28" t="s">
        <v>419</v>
      </c>
      <c r="H284" s="28" t="s">
        <v>708</v>
      </c>
      <c r="I284" s="28" t="s">
        <v>275</v>
      </c>
      <c r="L284" s="28" t="s">
        <v>779</v>
      </c>
      <c r="M284" s="28" t="s">
        <v>1131</v>
      </c>
      <c r="O284" s="28" t="s">
        <v>778</v>
      </c>
      <c r="P284" s="28" t="s">
        <v>726</v>
      </c>
      <c r="S284" s="28" t="s">
        <v>1558</v>
      </c>
      <c r="T284" s="28" t="s">
        <v>1557</v>
      </c>
      <c r="V284" s="28" t="s">
        <v>1643</v>
      </c>
      <c r="W284" s="28" t="s">
        <v>212</v>
      </c>
      <c r="X284" s="28" t="s">
        <v>919</v>
      </c>
      <c r="Z284" s="28" t="s">
        <v>830</v>
      </c>
      <c r="AA284" s="28" t="s">
        <v>832</v>
      </c>
      <c r="AB284" s="28" t="s">
        <v>832</v>
      </c>
      <c r="AC284" s="28" t="s">
        <v>835</v>
      </c>
    </row>
    <row r="285" spans="3:30" x14ac:dyDescent="0.25">
      <c r="E285" s="28" t="s">
        <v>500</v>
      </c>
      <c r="F285" s="28" t="s">
        <v>435</v>
      </c>
      <c r="G285" s="28" t="s">
        <v>212</v>
      </c>
      <c r="H285" s="28" t="s">
        <v>709</v>
      </c>
      <c r="J285" s="28" t="s">
        <v>685</v>
      </c>
      <c r="K285" s="28" t="s">
        <v>1056</v>
      </c>
      <c r="L285" s="28" t="s">
        <v>779</v>
      </c>
      <c r="M285" s="28" t="s">
        <v>1131</v>
      </c>
      <c r="N285" s="28" t="s">
        <v>285</v>
      </c>
      <c r="O285" s="28" t="s">
        <v>779</v>
      </c>
      <c r="P285" s="28" t="s">
        <v>727</v>
      </c>
      <c r="Q285" s="28" t="s">
        <v>837</v>
      </c>
      <c r="R285" s="28" t="s">
        <v>1482</v>
      </c>
      <c r="T285" s="28" t="s">
        <v>1571</v>
      </c>
      <c r="U285" s="28" t="s">
        <v>1620</v>
      </c>
      <c r="V285" s="28" t="s">
        <v>340</v>
      </c>
      <c r="W285" s="28" t="s">
        <v>254</v>
      </c>
      <c r="X285" s="28" t="s">
        <v>1264</v>
      </c>
      <c r="Y285" s="28" t="s">
        <v>834</v>
      </c>
      <c r="Z285" s="28" t="s">
        <v>831</v>
      </c>
      <c r="AA285" s="28" t="s">
        <v>833</v>
      </c>
      <c r="AB285" s="28" t="s">
        <v>833</v>
      </c>
      <c r="AD285" s="28" t="s">
        <v>837</v>
      </c>
    </row>
    <row r="286" spans="3:30" x14ac:dyDescent="0.25">
      <c r="C286" s="28" t="s">
        <v>295</v>
      </c>
      <c r="D286" s="28" t="s">
        <v>426</v>
      </c>
      <c r="E286" s="28" t="s">
        <v>500</v>
      </c>
      <c r="I286" s="28" t="s">
        <v>764</v>
      </c>
      <c r="K286" s="28" t="s">
        <v>1052</v>
      </c>
      <c r="S286" s="28" t="s">
        <v>1559</v>
      </c>
      <c r="V286" s="28" t="s">
        <v>1643</v>
      </c>
      <c r="W286" s="28" t="s">
        <v>961</v>
      </c>
      <c r="Y286" s="28" t="s">
        <v>835</v>
      </c>
      <c r="AC286" s="28" t="s">
        <v>837</v>
      </c>
    </row>
    <row r="287" spans="3:30" x14ac:dyDescent="0.25">
      <c r="D287" s="28" t="s">
        <v>390</v>
      </c>
      <c r="E287" s="28" t="s">
        <v>500</v>
      </c>
      <c r="F287" s="28" t="s">
        <v>436</v>
      </c>
      <c r="G287" s="28" t="s">
        <v>444</v>
      </c>
      <c r="H287" s="28" t="s">
        <v>160</v>
      </c>
      <c r="J287" s="28" t="s">
        <v>686</v>
      </c>
      <c r="K287" s="28" t="s">
        <v>1064</v>
      </c>
      <c r="L287" s="28" t="s">
        <v>793</v>
      </c>
      <c r="M287" s="28" t="s">
        <v>1131</v>
      </c>
      <c r="N287" s="28" t="s">
        <v>720</v>
      </c>
      <c r="O287" s="28" t="s">
        <v>972</v>
      </c>
      <c r="P287" s="28" t="s">
        <v>703</v>
      </c>
      <c r="Q287" s="28" t="s">
        <v>834</v>
      </c>
      <c r="R287" s="28" t="s">
        <v>1483</v>
      </c>
      <c r="T287" s="28" t="s">
        <v>1572</v>
      </c>
      <c r="U287" s="28" t="s">
        <v>1621</v>
      </c>
      <c r="X287" s="28" t="s">
        <v>1725</v>
      </c>
      <c r="Z287" s="28" t="s">
        <v>832</v>
      </c>
      <c r="AA287" s="28" t="s">
        <v>834</v>
      </c>
      <c r="AB287" s="28" t="s">
        <v>834</v>
      </c>
      <c r="AD287" s="28" t="s">
        <v>838</v>
      </c>
    </row>
    <row r="288" spans="3:30" x14ac:dyDescent="0.25">
      <c r="C288" s="28" t="s">
        <v>296</v>
      </c>
      <c r="E288" s="28" t="s">
        <v>500</v>
      </c>
      <c r="F288" s="28" t="s">
        <v>437</v>
      </c>
      <c r="H288" s="28" t="s">
        <v>160</v>
      </c>
      <c r="I288" s="28" t="s">
        <v>765</v>
      </c>
      <c r="J288" s="28" t="s">
        <v>687</v>
      </c>
      <c r="K288" s="28" t="s">
        <v>1059</v>
      </c>
      <c r="L288" s="28" t="s">
        <v>794</v>
      </c>
      <c r="M288" s="28" t="s">
        <v>1137</v>
      </c>
      <c r="P288" s="28" t="s">
        <v>728</v>
      </c>
      <c r="Q288" s="28" t="s">
        <v>835</v>
      </c>
      <c r="R288" s="28" t="s">
        <v>1484</v>
      </c>
      <c r="S288" s="28" t="s">
        <v>478</v>
      </c>
      <c r="U288" s="28" t="s">
        <v>1622</v>
      </c>
      <c r="V288" s="28" t="s">
        <v>1650</v>
      </c>
      <c r="W288" s="28" t="s">
        <v>545</v>
      </c>
      <c r="Y288" s="28" t="s">
        <v>837</v>
      </c>
      <c r="Z288" s="28" t="s">
        <v>833</v>
      </c>
      <c r="AA288" s="28" t="s">
        <v>835</v>
      </c>
      <c r="AB288" s="28" t="s">
        <v>835</v>
      </c>
      <c r="AC288" s="28" t="s">
        <v>838</v>
      </c>
    </row>
    <row r="289" spans="3:30" x14ac:dyDescent="0.25">
      <c r="C289" s="28" t="s">
        <v>297</v>
      </c>
      <c r="D289" s="28" t="s">
        <v>373</v>
      </c>
      <c r="E289" s="28" t="s">
        <v>501</v>
      </c>
      <c r="G289" s="28" t="s">
        <v>417</v>
      </c>
      <c r="H289" s="28" t="s">
        <v>160</v>
      </c>
      <c r="K289" s="28" t="s">
        <v>1055</v>
      </c>
      <c r="M289" s="28" t="s">
        <v>1129</v>
      </c>
      <c r="N289" s="28" t="s">
        <v>1169</v>
      </c>
      <c r="O289" s="28" t="s">
        <v>972</v>
      </c>
      <c r="P289" s="28" t="s">
        <v>729</v>
      </c>
      <c r="R289" s="28" t="s">
        <v>1484</v>
      </c>
      <c r="T289" s="28" t="s">
        <v>478</v>
      </c>
      <c r="U289" s="28" t="s">
        <v>1623</v>
      </c>
      <c r="V289" s="28" t="s">
        <v>1651</v>
      </c>
      <c r="X289" s="28" t="s">
        <v>1724</v>
      </c>
      <c r="AD289" s="28" t="s">
        <v>836</v>
      </c>
    </row>
    <row r="290" spans="3:30" x14ac:dyDescent="0.25">
      <c r="C290" s="28" t="s">
        <v>298</v>
      </c>
      <c r="E290" s="28" t="s">
        <v>501</v>
      </c>
      <c r="F290" s="28" t="s">
        <v>438</v>
      </c>
      <c r="H290" s="28" t="s">
        <v>160</v>
      </c>
      <c r="I290" s="28" t="s">
        <v>363</v>
      </c>
      <c r="J290" s="28" t="s">
        <v>688</v>
      </c>
      <c r="K290" s="28" t="s">
        <v>1065</v>
      </c>
      <c r="L290" s="28" t="s">
        <v>795</v>
      </c>
      <c r="P290" s="28" t="s">
        <v>730</v>
      </c>
      <c r="Q290" s="28" t="s">
        <v>845</v>
      </c>
      <c r="S290" s="28" t="s">
        <v>362</v>
      </c>
      <c r="U290" s="28" t="s">
        <v>1624</v>
      </c>
      <c r="V290" s="28" t="s">
        <v>1652</v>
      </c>
      <c r="W290" s="28" t="s">
        <v>160</v>
      </c>
      <c r="Y290" s="28" t="s">
        <v>838</v>
      </c>
      <c r="Z290" s="28" t="s">
        <v>834</v>
      </c>
      <c r="AA290" s="28" t="s">
        <v>837</v>
      </c>
      <c r="AB290" s="28" t="s">
        <v>837</v>
      </c>
      <c r="AC290" s="28" t="s">
        <v>836</v>
      </c>
    </row>
    <row r="291" spans="3:30" x14ac:dyDescent="0.25">
      <c r="C291" s="28" t="s">
        <v>299</v>
      </c>
      <c r="D291" s="28" t="s">
        <v>427</v>
      </c>
      <c r="E291" s="28" t="s">
        <v>501</v>
      </c>
      <c r="F291" s="28" t="s">
        <v>439</v>
      </c>
      <c r="G291" s="28" t="s">
        <v>160</v>
      </c>
      <c r="H291" s="28" t="s">
        <v>160</v>
      </c>
      <c r="K291" s="28" t="s">
        <v>1057</v>
      </c>
      <c r="L291" s="28" t="s">
        <v>796</v>
      </c>
      <c r="M291" s="28" t="s">
        <v>859</v>
      </c>
      <c r="N291" s="28" t="s">
        <v>1174</v>
      </c>
      <c r="O291" s="28" t="s">
        <v>972</v>
      </c>
      <c r="P291" s="28" t="s">
        <v>1351</v>
      </c>
      <c r="Q291" s="28" t="s">
        <v>846</v>
      </c>
      <c r="R291" s="28" t="s">
        <v>1485</v>
      </c>
      <c r="T291" s="28" t="s">
        <v>362</v>
      </c>
      <c r="U291" s="28" t="s">
        <v>1625</v>
      </c>
      <c r="X291" s="28" t="s">
        <v>1783</v>
      </c>
      <c r="Z291" s="28" t="s">
        <v>835</v>
      </c>
      <c r="AD291" s="28" t="s">
        <v>861</v>
      </c>
    </row>
    <row r="292" spans="3:30" x14ac:dyDescent="0.25">
      <c r="C292" s="28" t="s">
        <v>300</v>
      </c>
      <c r="D292" s="28" t="s">
        <v>390</v>
      </c>
      <c r="F292" s="28" t="s">
        <v>440</v>
      </c>
      <c r="H292" s="28" t="s">
        <v>160</v>
      </c>
      <c r="I292" s="28" t="s">
        <v>770</v>
      </c>
      <c r="J292" s="28" t="s">
        <v>198</v>
      </c>
      <c r="M292" s="28" t="s">
        <v>858</v>
      </c>
      <c r="P292" s="28" t="s">
        <v>1351</v>
      </c>
      <c r="R292" s="28" t="s">
        <v>1486</v>
      </c>
      <c r="S292" s="28" t="s">
        <v>1560</v>
      </c>
      <c r="U292" s="28" t="s">
        <v>1626</v>
      </c>
      <c r="V292" s="28" t="s">
        <v>1653</v>
      </c>
      <c r="W292" s="28" t="s">
        <v>422</v>
      </c>
      <c r="Y292" s="28" t="s">
        <v>836</v>
      </c>
      <c r="AA292" s="28" t="s">
        <v>838</v>
      </c>
      <c r="AB292" s="28" t="s">
        <v>838</v>
      </c>
      <c r="AC292" s="28" t="s">
        <v>861</v>
      </c>
    </row>
    <row r="293" spans="3:30" x14ac:dyDescent="0.25">
      <c r="C293" s="28" t="s">
        <v>301</v>
      </c>
      <c r="D293" s="28" t="s">
        <v>373</v>
      </c>
      <c r="E293" s="28" t="s">
        <v>452</v>
      </c>
      <c r="G293" s="28" t="s">
        <v>435</v>
      </c>
      <c r="I293" s="28" t="s">
        <v>971</v>
      </c>
      <c r="K293" s="28" t="s">
        <v>706</v>
      </c>
      <c r="L293" s="28" t="s">
        <v>341</v>
      </c>
      <c r="M293" s="28" t="s">
        <v>858</v>
      </c>
      <c r="N293" s="28" t="s">
        <v>243</v>
      </c>
      <c r="O293" s="28" t="s">
        <v>781</v>
      </c>
      <c r="P293" s="28" t="s">
        <v>1352</v>
      </c>
      <c r="Q293" s="28" t="s">
        <v>829</v>
      </c>
      <c r="R293" s="28" t="s">
        <v>1487</v>
      </c>
      <c r="T293" s="28" t="s">
        <v>1560</v>
      </c>
      <c r="U293" s="28" t="s">
        <v>1627</v>
      </c>
      <c r="W293" s="28" t="s">
        <v>160</v>
      </c>
      <c r="X293" s="28" t="s">
        <v>1784</v>
      </c>
      <c r="Z293" s="28" t="s">
        <v>837</v>
      </c>
      <c r="AD293" s="28" t="s">
        <v>839</v>
      </c>
    </row>
    <row r="294" spans="3:30" x14ac:dyDescent="0.25">
      <c r="C294" s="28" t="s">
        <v>302</v>
      </c>
      <c r="E294" s="28" t="s">
        <v>452</v>
      </c>
      <c r="F294" s="28" t="s">
        <v>432</v>
      </c>
      <c r="H294" s="28" t="s">
        <v>710</v>
      </c>
      <c r="J294" s="28" t="s">
        <v>214</v>
      </c>
      <c r="K294" s="28" t="s">
        <v>707</v>
      </c>
      <c r="L294" s="28" t="s">
        <v>797</v>
      </c>
      <c r="R294" s="28" t="s">
        <v>1488</v>
      </c>
      <c r="S294" s="28" t="s">
        <v>350</v>
      </c>
      <c r="U294" s="28" t="s">
        <v>1628</v>
      </c>
      <c r="V294" s="28" t="s">
        <v>1668</v>
      </c>
      <c r="Y294" s="28" t="s">
        <v>861</v>
      </c>
      <c r="AA294" s="28" t="s">
        <v>836</v>
      </c>
      <c r="AB294" s="28" t="s">
        <v>836</v>
      </c>
      <c r="AC294" s="28" t="s">
        <v>839</v>
      </c>
      <c r="AD294" s="28" t="s">
        <v>840</v>
      </c>
    </row>
    <row r="295" spans="3:30" x14ac:dyDescent="0.25">
      <c r="D295" s="28" t="s">
        <v>245</v>
      </c>
      <c r="E295" s="28" t="s">
        <v>452</v>
      </c>
      <c r="G295" s="28" t="s">
        <v>432</v>
      </c>
      <c r="H295" s="28" t="s">
        <v>711</v>
      </c>
      <c r="I295" s="28" t="s">
        <v>772</v>
      </c>
      <c r="K295" s="28" t="s">
        <v>708</v>
      </c>
      <c r="L295" s="28" t="s">
        <v>798</v>
      </c>
      <c r="M295" s="28" t="s">
        <v>500</v>
      </c>
      <c r="N295" s="28" t="s">
        <v>212</v>
      </c>
      <c r="O295" s="28" t="s">
        <v>782</v>
      </c>
      <c r="P295" s="28" t="s">
        <v>734</v>
      </c>
      <c r="Q295" s="28" t="s">
        <v>838</v>
      </c>
      <c r="R295" s="28" t="s">
        <v>1489</v>
      </c>
      <c r="S295" s="28" t="s">
        <v>160</v>
      </c>
      <c r="T295" s="28" t="s">
        <v>350</v>
      </c>
      <c r="U295" s="28" t="s">
        <v>1629</v>
      </c>
      <c r="W295" s="28" t="s">
        <v>436</v>
      </c>
      <c r="X295" s="28" t="s">
        <v>419</v>
      </c>
      <c r="Z295" s="28" t="s">
        <v>838</v>
      </c>
      <c r="AC295" s="28" t="s">
        <v>840</v>
      </c>
    </row>
    <row r="296" spans="3:30" x14ac:dyDescent="0.25">
      <c r="C296" s="28" t="s">
        <v>303</v>
      </c>
      <c r="D296" s="28" t="s">
        <v>246</v>
      </c>
      <c r="E296" s="28" t="s">
        <v>452</v>
      </c>
      <c r="F296" s="28" t="s">
        <v>241</v>
      </c>
      <c r="H296" s="28" t="s">
        <v>712</v>
      </c>
      <c r="I296" s="28" t="s">
        <v>773</v>
      </c>
      <c r="J296" s="28" t="s">
        <v>283</v>
      </c>
      <c r="K296" s="28" t="s">
        <v>709</v>
      </c>
      <c r="L296" s="28" t="s">
        <v>799</v>
      </c>
      <c r="M296" s="28" t="s">
        <v>500</v>
      </c>
      <c r="N296" s="28" t="s">
        <v>160</v>
      </c>
      <c r="P296" s="28" t="s">
        <v>1353</v>
      </c>
      <c r="T296" s="28" t="s">
        <v>160</v>
      </c>
      <c r="V296" s="28" t="s">
        <v>803</v>
      </c>
      <c r="W296" s="28" t="s">
        <v>437</v>
      </c>
      <c r="X296" s="28" t="s">
        <v>212</v>
      </c>
      <c r="Y296" s="28" t="s">
        <v>839</v>
      </c>
      <c r="AA296" s="28" t="s">
        <v>861</v>
      </c>
      <c r="AB296" s="28" t="s">
        <v>861</v>
      </c>
      <c r="AD296" s="28" t="s">
        <v>841</v>
      </c>
    </row>
    <row r="297" spans="3:30" x14ac:dyDescent="0.25">
      <c r="D297" s="28" t="s">
        <v>247</v>
      </c>
      <c r="E297" s="28" t="s">
        <v>502</v>
      </c>
      <c r="G297" s="28" t="s">
        <v>241</v>
      </c>
      <c r="H297" s="28" t="s">
        <v>711</v>
      </c>
      <c r="I297" s="28" t="s">
        <v>774</v>
      </c>
      <c r="M297" s="28" t="s">
        <v>500</v>
      </c>
      <c r="O297" s="28" t="s">
        <v>160</v>
      </c>
      <c r="P297" s="28" t="s">
        <v>1354</v>
      </c>
      <c r="Q297" s="28" t="s">
        <v>837</v>
      </c>
      <c r="R297" s="28" t="s">
        <v>1440</v>
      </c>
      <c r="S297" s="28" t="s">
        <v>364</v>
      </c>
      <c r="U297" s="28" t="s">
        <v>1602</v>
      </c>
      <c r="V297" s="28" t="s">
        <v>346</v>
      </c>
      <c r="Y297" s="28" t="s">
        <v>840</v>
      </c>
      <c r="Z297" s="28" t="s">
        <v>836</v>
      </c>
      <c r="AC297" s="28" t="s">
        <v>841</v>
      </c>
      <c r="AD297" s="28" t="s">
        <v>842</v>
      </c>
    </row>
    <row r="298" spans="3:30" x14ac:dyDescent="0.25">
      <c r="C298" s="28" t="s">
        <v>304</v>
      </c>
      <c r="D298" s="28" t="s">
        <v>248</v>
      </c>
      <c r="E298" s="28" t="s">
        <v>502</v>
      </c>
      <c r="F298" s="28" t="s">
        <v>545</v>
      </c>
      <c r="H298" s="28" t="s">
        <v>711</v>
      </c>
      <c r="I298" s="28" t="s">
        <v>775</v>
      </c>
      <c r="J298" s="28" t="s">
        <v>689</v>
      </c>
      <c r="K298" s="28" t="s">
        <v>160</v>
      </c>
      <c r="L298" s="28" t="s">
        <v>73</v>
      </c>
      <c r="N298" s="28" t="s">
        <v>243</v>
      </c>
      <c r="R298" s="28" t="s">
        <v>1490</v>
      </c>
      <c r="T298" s="28" t="s">
        <v>364</v>
      </c>
      <c r="W298" s="28" t="s">
        <v>438</v>
      </c>
      <c r="X298" s="28" t="s">
        <v>419</v>
      </c>
      <c r="AA298" s="28" t="s">
        <v>839</v>
      </c>
      <c r="AB298" s="28" t="s">
        <v>839</v>
      </c>
      <c r="AC298" s="28" t="s">
        <v>842</v>
      </c>
    </row>
    <row r="299" spans="3:30" x14ac:dyDescent="0.25">
      <c r="D299" s="28" t="s">
        <v>245</v>
      </c>
      <c r="E299" s="28" t="s">
        <v>502</v>
      </c>
      <c r="G299" s="28" t="s">
        <v>608</v>
      </c>
      <c r="H299" s="28" t="s">
        <v>713</v>
      </c>
      <c r="K299" s="28" t="s">
        <v>160</v>
      </c>
      <c r="L299" s="28" t="s">
        <v>43</v>
      </c>
      <c r="M299" s="28" t="s">
        <v>861</v>
      </c>
      <c r="N299" s="28" t="s">
        <v>212</v>
      </c>
      <c r="O299" s="28" t="s">
        <v>783</v>
      </c>
      <c r="P299" s="28" t="s">
        <v>1355</v>
      </c>
      <c r="Q299" s="28" t="s">
        <v>834</v>
      </c>
      <c r="R299" s="28" t="s">
        <v>1014</v>
      </c>
      <c r="S299" s="28" t="s">
        <v>160</v>
      </c>
      <c r="U299" s="28" t="s">
        <v>244</v>
      </c>
      <c r="V299" s="28" t="s">
        <v>1655</v>
      </c>
      <c r="W299" s="28" t="s">
        <v>439</v>
      </c>
      <c r="X299" s="28" t="s">
        <v>160</v>
      </c>
      <c r="Y299" s="28" t="s">
        <v>841</v>
      </c>
      <c r="Z299" s="28" t="s">
        <v>861</v>
      </c>
      <c r="AA299" s="28" t="s">
        <v>840</v>
      </c>
      <c r="AB299" s="28" t="s">
        <v>840</v>
      </c>
      <c r="AD299" s="28" t="s">
        <v>843</v>
      </c>
    </row>
    <row r="300" spans="3:30" x14ac:dyDescent="0.25">
      <c r="C300" s="28" t="s">
        <v>305</v>
      </c>
      <c r="D300" s="28" t="s">
        <v>249</v>
      </c>
      <c r="E300" s="28" t="s">
        <v>452</v>
      </c>
      <c r="F300" s="28" t="s">
        <v>442</v>
      </c>
      <c r="I300" s="28" t="s">
        <v>776</v>
      </c>
      <c r="J300" s="28" t="s">
        <v>690</v>
      </c>
      <c r="K300" s="28" t="s">
        <v>160</v>
      </c>
      <c r="M300" s="28" t="s">
        <v>862</v>
      </c>
      <c r="P300" s="28" t="s">
        <v>1355</v>
      </c>
      <c r="Q300" s="28" t="s">
        <v>835</v>
      </c>
      <c r="R300" s="28" t="s">
        <v>1491</v>
      </c>
      <c r="T300" s="28" t="s">
        <v>160</v>
      </c>
      <c r="U300" s="28" t="s">
        <v>420</v>
      </c>
      <c r="W300" s="28" t="s">
        <v>440</v>
      </c>
      <c r="X300" s="28" t="s">
        <v>244</v>
      </c>
      <c r="Y300" s="28" t="s">
        <v>842</v>
      </c>
      <c r="AC300" s="28" t="s">
        <v>843</v>
      </c>
      <c r="AD300" s="28" t="s">
        <v>844</v>
      </c>
    </row>
    <row r="301" spans="3:30" x14ac:dyDescent="0.25">
      <c r="D301" s="28" t="s">
        <v>247</v>
      </c>
      <c r="E301" s="28" t="s">
        <v>452</v>
      </c>
      <c r="G301" s="28" t="s">
        <v>433</v>
      </c>
      <c r="H301" s="28" t="s">
        <v>714</v>
      </c>
      <c r="I301" s="28" t="s">
        <v>777</v>
      </c>
      <c r="J301" s="28" t="s">
        <v>691</v>
      </c>
      <c r="K301" s="28" t="s">
        <v>160</v>
      </c>
      <c r="L301" s="28" t="s">
        <v>780</v>
      </c>
      <c r="M301" s="28" t="s">
        <v>497</v>
      </c>
      <c r="N301" s="28" t="s">
        <v>1196</v>
      </c>
      <c r="O301" s="28" t="s">
        <v>424</v>
      </c>
      <c r="S301" s="28" t="s">
        <v>245</v>
      </c>
      <c r="V301" s="28" t="s">
        <v>1656</v>
      </c>
      <c r="Z301" s="28" t="s">
        <v>839</v>
      </c>
      <c r="AA301" s="28" t="s">
        <v>841</v>
      </c>
      <c r="AB301" s="28" t="s">
        <v>841</v>
      </c>
      <c r="AC301" s="28" t="s">
        <v>844</v>
      </c>
    </row>
    <row r="302" spans="3:30" x14ac:dyDescent="0.25">
      <c r="C302" s="28" t="s">
        <v>306</v>
      </c>
      <c r="D302" s="28" t="s">
        <v>250</v>
      </c>
      <c r="E302" s="28" t="s">
        <v>452</v>
      </c>
      <c r="F302" s="28" t="s">
        <v>585</v>
      </c>
      <c r="H302" s="28" t="s">
        <v>715</v>
      </c>
      <c r="I302" s="28" t="s">
        <v>778</v>
      </c>
      <c r="K302" s="28" t="s">
        <v>160</v>
      </c>
      <c r="L302" s="28" t="s">
        <v>786</v>
      </c>
      <c r="M302" s="28" t="s">
        <v>497</v>
      </c>
      <c r="P302" s="28" t="s">
        <v>692</v>
      </c>
      <c r="Q302" s="28" t="s">
        <v>845</v>
      </c>
      <c r="R302" s="28" t="s">
        <v>1485</v>
      </c>
      <c r="S302" s="28" t="s">
        <v>246</v>
      </c>
      <c r="T302" s="28" t="s">
        <v>245</v>
      </c>
      <c r="U302" s="28" t="s">
        <v>419</v>
      </c>
      <c r="W302" s="28" t="s">
        <v>432</v>
      </c>
      <c r="X302" s="28" t="s">
        <v>419</v>
      </c>
      <c r="Y302" s="28" t="s">
        <v>843</v>
      </c>
      <c r="Z302" s="28" t="s">
        <v>840</v>
      </c>
      <c r="AA302" s="28" t="s">
        <v>842</v>
      </c>
      <c r="AB302" s="28" t="s">
        <v>842</v>
      </c>
      <c r="AD302" s="28" t="s">
        <v>867</v>
      </c>
    </row>
    <row r="303" spans="3:30" x14ac:dyDescent="0.25">
      <c r="D303" s="28" t="s">
        <v>251</v>
      </c>
      <c r="E303" s="28" t="s">
        <v>452</v>
      </c>
      <c r="G303" s="28" t="s">
        <v>243</v>
      </c>
      <c r="H303" s="28" t="s">
        <v>716</v>
      </c>
      <c r="I303" s="28" t="s">
        <v>779</v>
      </c>
      <c r="J303" s="28" t="s">
        <v>1008</v>
      </c>
      <c r="K303" s="28" t="s">
        <v>160</v>
      </c>
      <c r="L303" s="28" t="s">
        <v>800</v>
      </c>
      <c r="N303" s="28" t="s">
        <v>1169</v>
      </c>
      <c r="O303" s="28" t="s">
        <v>82</v>
      </c>
      <c r="P303" s="28" t="s">
        <v>696</v>
      </c>
      <c r="Q303" s="28" t="s">
        <v>846</v>
      </c>
      <c r="R303" s="28" t="s">
        <v>1486</v>
      </c>
      <c r="S303" s="28" t="s">
        <v>247</v>
      </c>
      <c r="T303" s="28" t="s">
        <v>246</v>
      </c>
      <c r="U303" s="28" t="s">
        <v>545</v>
      </c>
      <c r="V303" s="28" t="s">
        <v>362</v>
      </c>
      <c r="X303" s="28" t="s">
        <v>212</v>
      </c>
      <c r="Y303" s="28" t="s">
        <v>844</v>
      </c>
      <c r="AC303" s="28" t="s">
        <v>867</v>
      </c>
      <c r="AD303" s="28" t="s">
        <v>868</v>
      </c>
    </row>
    <row r="304" spans="3:30" x14ac:dyDescent="0.25">
      <c r="C304" s="28" t="s">
        <v>307</v>
      </c>
      <c r="D304" s="28" t="s">
        <v>245</v>
      </c>
      <c r="E304" s="28" t="s">
        <v>502</v>
      </c>
      <c r="F304" s="28" t="s">
        <v>545</v>
      </c>
      <c r="H304" s="28" t="s">
        <v>717</v>
      </c>
      <c r="J304" s="28" t="s">
        <v>711</v>
      </c>
      <c r="K304" s="28" t="s">
        <v>160</v>
      </c>
      <c r="L304" s="28" t="s">
        <v>773</v>
      </c>
      <c r="M304" s="28" t="s">
        <v>839</v>
      </c>
      <c r="O304" s="28" t="s">
        <v>73</v>
      </c>
      <c r="R304" s="28" t="s">
        <v>1487</v>
      </c>
      <c r="S304" s="28" t="s">
        <v>248</v>
      </c>
      <c r="T304" s="28" t="s">
        <v>247</v>
      </c>
      <c r="W304" s="28" t="s">
        <v>241</v>
      </c>
      <c r="Z304" s="28" t="s">
        <v>841</v>
      </c>
      <c r="AA304" s="28" t="s">
        <v>843</v>
      </c>
      <c r="AB304" s="28" t="s">
        <v>843</v>
      </c>
      <c r="AC304" s="28" t="s">
        <v>868</v>
      </c>
    </row>
    <row r="305" spans="3:30" x14ac:dyDescent="0.25">
      <c r="C305" s="28" t="s">
        <v>308</v>
      </c>
      <c r="D305" s="28" t="s">
        <v>252</v>
      </c>
      <c r="E305" s="28" t="s">
        <v>502</v>
      </c>
      <c r="G305" s="28" t="s">
        <v>285</v>
      </c>
      <c r="H305" s="28" t="s">
        <v>718</v>
      </c>
      <c r="I305" s="28" t="s">
        <v>972</v>
      </c>
      <c r="J305" s="28" t="s">
        <v>711</v>
      </c>
      <c r="L305" s="28" t="s">
        <v>780</v>
      </c>
      <c r="M305" s="28" t="s">
        <v>840</v>
      </c>
      <c r="N305" s="28" t="s">
        <v>419</v>
      </c>
      <c r="O305" s="28" t="s">
        <v>43</v>
      </c>
      <c r="P305" s="28" t="s">
        <v>694</v>
      </c>
      <c r="Q305" s="28" t="s">
        <v>849</v>
      </c>
      <c r="R305" s="28" t="s">
        <v>1488</v>
      </c>
      <c r="S305" s="28" t="s">
        <v>245</v>
      </c>
      <c r="T305" s="28" t="s">
        <v>248</v>
      </c>
      <c r="U305" s="28" t="s">
        <v>244</v>
      </c>
      <c r="V305" s="28" t="s">
        <v>350</v>
      </c>
      <c r="X305" s="28" t="s">
        <v>916</v>
      </c>
      <c r="Y305" s="28" t="s">
        <v>867</v>
      </c>
      <c r="Z305" s="28" t="s">
        <v>842</v>
      </c>
      <c r="AA305" s="28" t="s">
        <v>844</v>
      </c>
      <c r="AB305" s="28" t="s">
        <v>844</v>
      </c>
      <c r="AD305" s="28" t="s">
        <v>845</v>
      </c>
    </row>
    <row r="306" spans="3:30" x14ac:dyDescent="0.25">
      <c r="C306" s="28" t="s">
        <v>309</v>
      </c>
      <c r="E306" s="28" t="s">
        <v>502</v>
      </c>
      <c r="F306" s="28" t="s">
        <v>160</v>
      </c>
      <c r="H306" s="28" t="s">
        <v>716</v>
      </c>
      <c r="J306" s="28" t="s">
        <v>1009</v>
      </c>
      <c r="K306" s="28" t="s">
        <v>686</v>
      </c>
      <c r="L306" s="28" t="s">
        <v>801</v>
      </c>
      <c r="M306" s="28" t="s">
        <v>1133</v>
      </c>
      <c r="N306" s="28" t="s">
        <v>419</v>
      </c>
      <c r="O306" s="28" t="s">
        <v>784</v>
      </c>
      <c r="P306" s="28" t="s">
        <v>697</v>
      </c>
      <c r="Q306" s="28" t="s">
        <v>850</v>
      </c>
      <c r="S306" s="28" t="s">
        <v>249</v>
      </c>
      <c r="T306" s="28" t="s">
        <v>245</v>
      </c>
      <c r="U306" s="28" t="s">
        <v>424</v>
      </c>
      <c r="W306" s="28" t="s">
        <v>436</v>
      </c>
      <c r="Y306" s="28" t="s">
        <v>868</v>
      </c>
      <c r="AC306" s="28" t="s">
        <v>845</v>
      </c>
      <c r="AD306" s="28" t="s">
        <v>846</v>
      </c>
    </row>
    <row r="307" spans="3:30" x14ac:dyDescent="0.25">
      <c r="C307" s="28" t="s">
        <v>310</v>
      </c>
      <c r="D307" s="28" t="s">
        <v>253</v>
      </c>
      <c r="E307" s="28" t="s">
        <v>452</v>
      </c>
      <c r="G307" s="28" t="s">
        <v>545</v>
      </c>
      <c r="H307" s="28" t="s">
        <v>719</v>
      </c>
      <c r="I307" s="28" t="s">
        <v>972</v>
      </c>
      <c r="J307" s="28" t="s">
        <v>1009</v>
      </c>
      <c r="K307" s="28" t="s">
        <v>687</v>
      </c>
      <c r="L307" s="28" t="s">
        <v>774</v>
      </c>
      <c r="M307" s="28" t="s">
        <v>593</v>
      </c>
      <c r="N307" s="28" t="s">
        <v>212</v>
      </c>
      <c r="O307" s="28" t="s">
        <v>785</v>
      </c>
      <c r="Q307" s="28" t="s">
        <v>1412</v>
      </c>
      <c r="R307" s="28" t="s">
        <v>723</v>
      </c>
      <c r="S307" s="28" t="s">
        <v>247</v>
      </c>
      <c r="T307" s="28" t="s">
        <v>249</v>
      </c>
      <c r="V307" s="28" t="s">
        <v>364</v>
      </c>
      <c r="W307" s="28" t="s">
        <v>437</v>
      </c>
      <c r="X307" s="28" t="s">
        <v>419</v>
      </c>
      <c r="Z307" s="28" t="s">
        <v>843</v>
      </c>
      <c r="AA307" s="28" t="s">
        <v>867</v>
      </c>
      <c r="AB307" s="28" t="s">
        <v>867</v>
      </c>
      <c r="AC307" s="28" t="s">
        <v>846</v>
      </c>
    </row>
    <row r="308" spans="3:30" x14ac:dyDescent="0.25">
      <c r="C308" s="28" t="s">
        <v>311</v>
      </c>
      <c r="E308" s="28" t="s">
        <v>452</v>
      </c>
      <c r="F308" s="28" t="s">
        <v>419</v>
      </c>
      <c r="L308" s="28" t="s">
        <v>802</v>
      </c>
      <c r="M308" s="28" t="s">
        <v>593</v>
      </c>
      <c r="P308" s="28" t="s">
        <v>692</v>
      </c>
      <c r="Q308" s="28" t="s">
        <v>1413</v>
      </c>
      <c r="S308" s="28" t="s">
        <v>250</v>
      </c>
      <c r="T308" s="28" t="s">
        <v>247</v>
      </c>
      <c r="U308" s="28" t="s">
        <v>891</v>
      </c>
      <c r="X308" s="28" t="s">
        <v>243</v>
      </c>
      <c r="Y308" s="28" t="s">
        <v>845</v>
      </c>
      <c r="Z308" s="28" t="s">
        <v>844</v>
      </c>
      <c r="AA308" s="28" t="s">
        <v>868</v>
      </c>
      <c r="AB308" s="28" t="s">
        <v>868</v>
      </c>
      <c r="AD308" s="28" t="s">
        <v>847</v>
      </c>
    </row>
    <row r="309" spans="3:30" x14ac:dyDescent="0.25">
      <c r="C309" s="28" t="s">
        <v>312</v>
      </c>
      <c r="D309" s="28" t="s">
        <v>254</v>
      </c>
      <c r="E309" s="28" t="s">
        <v>452</v>
      </c>
      <c r="F309" s="28" t="s">
        <v>212</v>
      </c>
      <c r="G309" s="28" t="s">
        <v>436</v>
      </c>
      <c r="H309" s="28" t="s">
        <v>714</v>
      </c>
      <c r="I309" s="28" t="s">
        <v>972</v>
      </c>
      <c r="J309" s="28" t="s">
        <v>1010</v>
      </c>
      <c r="K309" s="28" t="s">
        <v>1074</v>
      </c>
      <c r="L309" s="28" t="s">
        <v>775</v>
      </c>
      <c r="N309" s="28" t="s">
        <v>1168</v>
      </c>
      <c r="O309" s="28" t="s">
        <v>972</v>
      </c>
      <c r="P309" s="28" t="s">
        <v>698</v>
      </c>
      <c r="Q309" s="28" t="s">
        <v>1414</v>
      </c>
      <c r="R309" s="28" t="s">
        <v>724</v>
      </c>
      <c r="S309" s="28" t="s">
        <v>251</v>
      </c>
      <c r="T309" s="28" t="s">
        <v>250</v>
      </c>
      <c r="U309" s="28" t="s">
        <v>892</v>
      </c>
      <c r="V309" s="28" t="s">
        <v>363</v>
      </c>
      <c r="W309" s="28" t="s">
        <v>438</v>
      </c>
      <c r="X309" s="28" t="s">
        <v>244</v>
      </c>
      <c r="Y309" s="28" t="s">
        <v>846</v>
      </c>
      <c r="AC309" s="28" t="s">
        <v>847</v>
      </c>
      <c r="AD309" s="28" t="s">
        <v>848</v>
      </c>
    </row>
    <row r="310" spans="3:30" x14ac:dyDescent="0.25">
      <c r="D310" s="28" t="s">
        <v>255</v>
      </c>
      <c r="E310" s="28" t="s">
        <v>452</v>
      </c>
      <c r="G310" s="28" t="s">
        <v>437</v>
      </c>
      <c r="H310" s="28" t="s">
        <v>715</v>
      </c>
      <c r="J310" s="28" t="s">
        <v>1011</v>
      </c>
      <c r="M310" s="28" t="s">
        <v>841</v>
      </c>
      <c r="O310" s="28" t="s">
        <v>780</v>
      </c>
      <c r="P310" s="28" t="s">
        <v>699</v>
      </c>
      <c r="Q310" s="28" t="s">
        <v>1415</v>
      </c>
      <c r="R310" s="28" t="s">
        <v>725</v>
      </c>
      <c r="S310" s="28" t="s">
        <v>245</v>
      </c>
      <c r="T310" s="28" t="s">
        <v>251</v>
      </c>
      <c r="W310" s="28" t="s">
        <v>439</v>
      </c>
      <c r="Z310" s="28" t="s">
        <v>867</v>
      </c>
      <c r="AA310" s="28" t="s">
        <v>845</v>
      </c>
      <c r="AB310" s="28" t="s">
        <v>845</v>
      </c>
      <c r="AC310" s="28" t="s">
        <v>848</v>
      </c>
    </row>
    <row r="311" spans="3:30" x14ac:dyDescent="0.25">
      <c r="C311" s="28" t="s">
        <v>313</v>
      </c>
      <c r="D311" s="28" t="s">
        <v>248</v>
      </c>
      <c r="E311" s="28" t="s">
        <v>502</v>
      </c>
      <c r="F311" s="28" t="s">
        <v>424</v>
      </c>
      <c r="H311" s="28" t="s">
        <v>716</v>
      </c>
      <c r="I311" s="28" t="s">
        <v>781</v>
      </c>
      <c r="J311" s="28" t="s">
        <v>1012</v>
      </c>
      <c r="K311" s="28" t="s">
        <v>711</v>
      </c>
      <c r="L311" s="28" t="s">
        <v>778</v>
      </c>
      <c r="M311" s="28" t="s">
        <v>842</v>
      </c>
      <c r="N311" s="28" t="s">
        <v>655</v>
      </c>
      <c r="O311" s="28" t="s">
        <v>786</v>
      </c>
      <c r="P311" s="28" t="s">
        <v>700</v>
      </c>
      <c r="Q311" s="28" t="s">
        <v>1416</v>
      </c>
      <c r="S311" s="28" t="s">
        <v>252</v>
      </c>
      <c r="T311" s="28" t="s">
        <v>245</v>
      </c>
      <c r="U311" s="28" t="s">
        <v>1630</v>
      </c>
      <c r="V311" s="28" t="s">
        <v>160</v>
      </c>
      <c r="W311" s="28" t="s">
        <v>440</v>
      </c>
      <c r="X311" s="28" t="s">
        <v>243</v>
      </c>
      <c r="Y311" s="28" t="s">
        <v>847</v>
      </c>
      <c r="Z311" s="28" t="s">
        <v>868</v>
      </c>
      <c r="AA311" s="28" t="s">
        <v>846</v>
      </c>
      <c r="AB311" s="28" t="s">
        <v>846</v>
      </c>
      <c r="AD311" s="28" t="s">
        <v>829</v>
      </c>
    </row>
    <row r="312" spans="3:30" x14ac:dyDescent="0.25">
      <c r="C312" s="28" t="s">
        <v>314</v>
      </c>
      <c r="D312" s="28" t="s">
        <v>246</v>
      </c>
      <c r="E312" s="28" t="s">
        <v>502</v>
      </c>
      <c r="G312" s="28" t="s">
        <v>438</v>
      </c>
      <c r="H312" s="28" t="s">
        <v>717</v>
      </c>
      <c r="J312" s="28" t="s">
        <v>716</v>
      </c>
      <c r="K312" s="28" t="s">
        <v>1075</v>
      </c>
      <c r="M312" s="28" t="s">
        <v>1133</v>
      </c>
      <c r="Q312" s="28" t="s">
        <v>1417</v>
      </c>
      <c r="R312" s="28" t="s">
        <v>726</v>
      </c>
      <c r="T312" s="28" t="s">
        <v>252</v>
      </c>
      <c r="U312" s="28" t="s">
        <v>1631</v>
      </c>
      <c r="X312" s="28" t="s">
        <v>545</v>
      </c>
      <c r="Y312" s="28" t="s">
        <v>848</v>
      </c>
      <c r="AC312" s="28" t="s">
        <v>829</v>
      </c>
    </row>
    <row r="313" spans="3:30" x14ac:dyDescent="0.25">
      <c r="D313" s="28" t="s">
        <v>256</v>
      </c>
      <c r="E313" s="28" t="s">
        <v>502</v>
      </c>
      <c r="F313" s="28" t="s">
        <v>434</v>
      </c>
      <c r="G313" s="28" t="s">
        <v>439</v>
      </c>
      <c r="H313" s="28" t="s">
        <v>718</v>
      </c>
      <c r="I313" s="28" t="s">
        <v>782</v>
      </c>
      <c r="J313" s="28" t="s">
        <v>716</v>
      </c>
      <c r="K313" s="28" t="s">
        <v>711</v>
      </c>
      <c r="L313" s="28" t="s">
        <v>777</v>
      </c>
      <c r="M313" s="28" t="s">
        <v>593</v>
      </c>
      <c r="N313" s="28" t="s">
        <v>1197</v>
      </c>
      <c r="O313" s="28" t="s">
        <v>787</v>
      </c>
      <c r="P313" s="28" t="s">
        <v>701</v>
      </c>
      <c r="R313" s="28" t="s">
        <v>727</v>
      </c>
      <c r="S313" s="28" t="s">
        <v>253</v>
      </c>
      <c r="V313" s="28" t="s">
        <v>160</v>
      </c>
      <c r="W313" s="28" t="s">
        <v>422</v>
      </c>
      <c r="X313" s="28" t="s">
        <v>160</v>
      </c>
      <c r="Z313" s="28" t="s">
        <v>845</v>
      </c>
      <c r="AA313" s="28" t="s">
        <v>847</v>
      </c>
      <c r="AB313" s="28" t="s">
        <v>847</v>
      </c>
      <c r="AD313" s="28" t="s">
        <v>829</v>
      </c>
    </row>
    <row r="314" spans="3:30" x14ac:dyDescent="0.25">
      <c r="C314" s="28" t="s">
        <v>315</v>
      </c>
      <c r="D314" s="28" t="s">
        <v>254</v>
      </c>
      <c r="G314" s="28" t="s">
        <v>440</v>
      </c>
      <c r="H314" s="28" t="s">
        <v>716</v>
      </c>
      <c r="J314" s="28" t="s">
        <v>1013</v>
      </c>
      <c r="K314" s="28" t="s">
        <v>1075</v>
      </c>
      <c r="M314" s="28" t="s">
        <v>593</v>
      </c>
      <c r="Q314" s="28" t="s">
        <v>861</v>
      </c>
      <c r="T314" s="28" t="s">
        <v>253</v>
      </c>
      <c r="U314" s="28" t="s">
        <v>1632</v>
      </c>
      <c r="W314" s="28" t="s">
        <v>160</v>
      </c>
      <c r="Y314" s="28" t="s">
        <v>829</v>
      </c>
      <c r="Z314" s="28" t="s">
        <v>846</v>
      </c>
      <c r="AA314" s="28" t="s">
        <v>848</v>
      </c>
      <c r="AB314" s="28" t="s">
        <v>848</v>
      </c>
      <c r="AC314" s="28" t="s">
        <v>829</v>
      </c>
    </row>
    <row r="315" spans="3:30" x14ac:dyDescent="0.25">
      <c r="D315" s="28" t="s">
        <v>255</v>
      </c>
      <c r="E315" s="28" t="s">
        <v>503</v>
      </c>
      <c r="F315" s="28" t="s">
        <v>435</v>
      </c>
      <c r="I315" s="28" t="s">
        <v>160</v>
      </c>
      <c r="K315" s="28" t="s">
        <v>1075</v>
      </c>
      <c r="L315" s="28" t="s">
        <v>779</v>
      </c>
      <c r="N315" s="28" t="s">
        <v>1198</v>
      </c>
      <c r="O315" s="28" t="s">
        <v>973</v>
      </c>
      <c r="P315" s="28" t="s">
        <v>702</v>
      </c>
      <c r="Q315" s="28" t="s">
        <v>498</v>
      </c>
      <c r="R315" s="28" t="s">
        <v>703</v>
      </c>
      <c r="S315" s="28" t="s">
        <v>254</v>
      </c>
      <c r="V315" s="28" t="s">
        <v>1669</v>
      </c>
      <c r="X315" s="28" t="s">
        <v>419</v>
      </c>
      <c r="AD315" s="28" t="s">
        <v>43</v>
      </c>
    </row>
    <row r="316" spans="3:30" x14ac:dyDescent="0.25">
      <c r="C316" s="28" t="s">
        <v>316</v>
      </c>
      <c r="D316" s="28" t="s">
        <v>257</v>
      </c>
      <c r="E316" s="28" t="s">
        <v>504</v>
      </c>
      <c r="G316" s="28" t="s">
        <v>545</v>
      </c>
      <c r="H316" s="28" t="s">
        <v>673</v>
      </c>
      <c r="J316" s="28" t="s">
        <v>1010</v>
      </c>
      <c r="K316" s="28" t="s">
        <v>1075</v>
      </c>
      <c r="M316" s="28" t="s">
        <v>843</v>
      </c>
      <c r="O316" s="28" t="s">
        <v>973</v>
      </c>
      <c r="Q316" s="28" t="s">
        <v>497</v>
      </c>
      <c r="R316" s="28" t="s">
        <v>728</v>
      </c>
      <c r="S316" s="28" t="s">
        <v>255</v>
      </c>
      <c r="T316" s="28" t="s">
        <v>254</v>
      </c>
      <c r="U316" s="28" t="s">
        <v>1633</v>
      </c>
      <c r="V316" s="28" t="s">
        <v>1670</v>
      </c>
      <c r="W316" s="28" t="s">
        <v>160</v>
      </c>
      <c r="X316" s="28" t="s">
        <v>545</v>
      </c>
      <c r="Y316" s="28" t="s">
        <v>829</v>
      </c>
      <c r="Z316" s="28" t="s">
        <v>847</v>
      </c>
      <c r="AA316" s="28" t="s">
        <v>829</v>
      </c>
      <c r="AB316" s="28" t="s">
        <v>829</v>
      </c>
      <c r="AC316" s="28" t="s">
        <v>43</v>
      </c>
      <c r="AD316" s="28" t="s">
        <v>784</v>
      </c>
    </row>
    <row r="317" spans="3:30" x14ac:dyDescent="0.25">
      <c r="C317" s="28" t="s">
        <v>316</v>
      </c>
      <c r="D317" s="28" t="s">
        <v>247</v>
      </c>
      <c r="E317" s="28" t="s">
        <v>505</v>
      </c>
      <c r="F317" s="28" t="s">
        <v>436</v>
      </c>
      <c r="H317" s="28" t="s">
        <v>658</v>
      </c>
      <c r="I317" s="28" t="s">
        <v>783</v>
      </c>
      <c r="J317" s="28" t="s">
        <v>1011</v>
      </c>
      <c r="L317" s="28" t="s">
        <v>780</v>
      </c>
      <c r="M317" s="28" t="s">
        <v>844</v>
      </c>
      <c r="N317" s="28" t="s">
        <v>1199</v>
      </c>
      <c r="O317" s="28" t="s">
        <v>973</v>
      </c>
      <c r="P317" s="28" t="s">
        <v>1356</v>
      </c>
      <c r="Q317" s="28" t="s">
        <v>497</v>
      </c>
      <c r="R317" s="28" t="s">
        <v>729</v>
      </c>
      <c r="S317" s="28" t="s">
        <v>248</v>
      </c>
      <c r="T317" s="28" t="s">
        <v>255</v>
      </c>
      <c r="Z317" s="28" t="s">
        <v>848</v>
      </c>
      <c r="AC317" s="28" t="s">
        <v>784</v>
      </c>
      <c r="AD317" s="28" t="s">
        <v>785</v>
      </c>
    </row>
    <row r="318" spans="3:30" x14ac:dyDescent="0.25">
      <c r="C318" s="28" t="s">
        <v>317</v>
      </c>
      <c r="D318" s="28" t="s">
        <v>258</v>
      </c>
      <c r="E318" s="28" t="s">
        <v>506</v>
      </c>
      <c r="F318" s="28" t="s">
        <v>437</v>
      </c>
      <c r="G318" s="28" t="s">
        <v>160</v>
      </c>
      <c r="H318" s="28" t="s">
        <v>720</v>
      </c>
      <c r="J318" s="28" t="s">
        <v>1012</v>
      </c>
      <c r="K318" s="28" t="s">
        <v>688</v>
      </c>
      <c r="Q318" s="28" t="s">
        <v>497</v>
      </c>
      <c r="R318" s="28" t="s">
        <v>730</v>
      </c>
      <c r="S318" s="28" t="s">
        <v>246</v>
      </c>
      <c r="T318" s="28" t="s">
        <v>248</v>
      </c>
      <c r="U318" s="28" t="s">
        <v>311</v>
      </c>
      <c r="V318" s="28" t="s">
        <v>1671</v>
      </c>
      <c r="W318" s="28" t="s">
        <v>545</v>
      </c>
      <c r="X318" s="28" t="s">
        <v>502</v>
      </c>
      <c r="Y318" s="28" t="s">
        <v>43</v>
      </c>
      <c r="AA318" s="28" t="s">
        <v>829</v>
      </c>
      <c r="AB318" s="28" t="s">
        <v>829</v>
      </c>
      <c r="AC318" s="28" t="s">
        <v>785</v>
      </c>
    </row>
    <row r="319" spans="3:30" x14ac:dyDescent="0.25">
      <c r="C319" s="28" t="s">
        <v>318</v>
      </c>
      <c r="D319" s="28" t="s">
        <v>259</v>
      </c>
      <c r="E319" s="28" t="s">
        <v>507</v>
      </c>
      <c r="H319" s="28" t="s">
        <v>672</v>
      </c>
      <c r="I319" s="28" t="s">
        <v>212</v>
      </c>
      <c r="J319" s="28" t="s">
        <v>716</v>
      </c>
      <c r="L319" s="28" t="s">
        <v>780</v>
      </c>
      <c r="M319" s="28" t="s">
        <v>869</v>
      </c>
      <c r="N319" s="28" t="s">
        <v>441</v>
      </c>
      <c r="O319" s="28" t="s">
        <v>789</v>
      </c>
      <c r="P319" s="28" t="s">
        <v>740</v>
      </c>
      <c r="Q319" s="28" t="s">
        <v>497</v>
      </c>
      <c r="R319" s="28" t="s">
        <v>225</v>
      </c>
      <c r="S319" s="28" t="s">
        <v>256</v>
      </c>
      <c r="T319" s="28" t="s">
        <v>246</v>
      </c>
      <c r="U319" s="28" t="s">
        <v>309</v>
      </c>
      <c r="Y319" s="28" t="s">
        <v>784</v>
      </c>
      <c r="Z319" s="28" t="s">
        <v>829</v>
      </c>
      <c r="AD319" s="28" t="s">
        <v>1886</v>
      </c>
    </row>
    <row r="320" spans="3:30" x14ac:dyDescent="0.25">
      <c r="C320" s="28" t="s">
        <v>319</v>
      </c>
      <c r="E320" s="28" t="s">
        <v>508</v>
      </c>
      <c r="F320" s="28" t="s">
        <v>438</v>
      </c>
      <c r="G320" s="28" t="s">
        <v>419</v>
      </c>
      <c r="H320" s="28" t="s">
        <v>721</v>
      </c>
      <c r="J320" s="28" t="s">
        <v>716</v>
      </c>
      <c r="K320" s="28" t="s">
        <v>198</v>
      </c>
      <c r="M320" s="28" t="s">
        <v>870</v>
      </c>
      <c r="P320" s="28" t="s">
        <v>741</v>
      </c>
      <c r="Q320" s="28" t="s">
        <v>497</v>
      </c>
      <c r="R320" s="28" t="s">
        <v>1351</v>
      </c>
      <c r="S320" s="28" t="s">
        <v>254</v>
      </c>
      <c r="T320" s="28" t="s">
        <v>256</v>
      </c>
      <c r="U320" s="28" t="s">
        <v>1634</v>
      </c>
      <c r="V320" s="28" t="s">
        <v>365</v>
      </c>
      <c r="W320" s="28" t="s">
        <v>419</v>
      </c>
      <c r="X320" s="28" t="s">
        <v>243</v>
      </c>
      <c r="Y320" s="28" t="s">
        <v>785</v>
      </c>
      <c r="AA320" s="28" t="s">
        <v>43</v>
      </c>
      <c r="AB320" s="28" t="s">
        <v>43</v>
      </c>
      <c r="AC320" s="28" t="s">
        <v>1886</v>
      </c>
    </row>
    <row r="321" spans="3:30" x14ac:dyDescent="0.25">
      <c r="C321" s="28" t="s">
        <v>316</v>
      </c>
      <c r="D321" s="28" t="s">
        <v>247</v>
      </c>
      <c r="E321" s="28" t="s">
        <v>509</v>
      </c>
      <c r="F321" s="28" t="s">
        <v>439</v>
      </c>
      <c r="G321" s="28" t="s">
        <v>212</v>
      </c>
      <c r="H321" s="28" t="s">
        <v>722</v>
      </c>
      <c r="I321" s="28" t="s">
        <v>82</v>
      </c>
      <c r="L321" s="28" t="s">
        <v>1124</v>
      </c>
      <c r="M321" s="28" t="s">
        <v>870</v>
      </c>
      <c r="N321" s="28" t="s">
        <v>1200</v>
      </c>
      <c r="O321" s="28" t="s">
        <v>777</v>
      </c>
      <c r="P321" s="28" t="s">
        <v>742</v>
      </c>
      <c r="R321" s="28" t="s">
        <v>1351</v>
      </c>
      <c r="S321" s="28" t="s">
        <v>255</v>
      </c>
      <c r="T321" s="28" t="s">
        <v>254</v>
      </c>
      <c r="W321" s="28" t="s">
        <v>212</v>
      </c>
      <c r="X321" s="28" t="s">
        <v>420</v>
      </c>
      <c r="Z321" s="28" t="s">
        <v>829</v>
      </c>
      <c r="AA321" s="28" t="s">
        <v>784</v>
      </c>
      <c r="AB321" s="28" t="s">
        <v>784</v>
      </c>
      <c r="AD321" s="28" t="s">
        <v>973</v>
      </c>
    </row>
    <row r="322" spans="3:30" x14ac:dyDescent="0.25">
      <c r="D322" s="28" t="s">
        <v>260</v>
      </c>
      <c r="E322" s="28" t="s">
        <v>510</v>
      </c>
      <c r="F322" s="28" t="s">
        <v>440</v>
      </c>
      <c r="I322" s="28" t="s">
        <v>73</v>
      </c>
      <c r="J322" s="28" t="s">
        <v>1004</v>
      </c>
      <c r="K322" s="28" t="s">
        <v>214</v>
      </c>
      <c r="O322" s="28" t="s">
        <v>777</v>
      </c>
      <c r="P322" s="28" t="s">
        <v>743</v>
      </c>
      <c r="Q322" s="28" t="s">
        <v>1338</v>
      </c>
      <c r="R322" s="28" t="s">
        <v>1351</v>
      </c>
      <c r="S322" s="28" t="s">
        <v>257</v>
      </c>
      <c r="T322" s="28" t="s">
        <v>255</v>
      </c>
      <c r="U322" s="28" t="s">
        <v>326</v>
      </c>
      <c r="W322" s="28" t="s">
        <v>254</v>
      </c>
      <c r="Y322" s="28" t="s">
        <v>1886</v>
      </c>
      <c r="AA322" s="28" t="s">
        <v>785</v>
      </c>
      <c r="AB322" s="28" t="s">
        <v>785</v>
      </c>
      <c r="AC322" s="28" t="s">
        <v>973</v>
      </c>
    </row>
    <row r="323" spans="3:30" x14ac:dyDescent="0.25">
      <c r="C323" s="28" t="s">
        <v>320</v>
      </c>
      <c r="D323" s="28" t="s">
        <v>247</v>
      </c>
      <c r="E323" s="28" t="s">
        <v>511</v>
      </c>
      <c r="G323" s="28" t="s">
        <v>160</v>
      </c>
      <c r="H323" s="28" t="s">
        <v>723</v>
      </c>
      <c r="I323" s="28" t="s">
        <v>43</v>
      </c>
      <c r="J323" s="28" t="s">
        <v>1003</v>
      </c>
      <c r="L323" s="28" t="s">
        <v>803</v>
      </c>
      <c r="M323" s="28" t="s">
        <v>867</v>
      </c>
      <c r="N323" s="28" t="s">
        <v>1201</v>
      </c>
      <c r="O323" s="28" t="s">
        <v>777</v>
      </c>
      <c r="P323" s="28" t="s">
        <v>744</v>
      </c>
      <c r="Q323" s="28" t="s">
        <v>501</v>
      </c>
      <c r="R323" s="28" t="s">
        <v>1492</v>
      </c>
      <c r="S323" s="28" t="s">
        <v>247</v>
      </c>
      <c r="T323" s="28" t="s">
        <v>257</v>
      </c>
      <c r="U323" s="28" t="s">
        <v>1635</v>
      </c>
      <c r="W323" s="28" t="s">
        <v>961</v>
      </c>
      <c r="X323" s="28" t="s">
        <v>243</v>
      </c>
      <c r="Z323" s="28" t="s">
        <v>43</v>
      </c>
      <c r="AD323" s="28" t="s">
        <v>777</v>
      </c>
    </row>
    <row r="324" spans="3:30" x14ac:dyDescent="0.25">
      <c r="D324" s="28" t="s">
        <v>261</v>
      </c>
      <c r="E324" s="28" t="s">
        <v>512</v>
      </c>
      <c r="F324" s="28" t="s">
        <v>425</v>
      </c>
      <c r="G324" s="28" t="s">
        <v>244</v>
      </c>
      <c r="I324" s="28" t="s">
        <v>784</v>
      </c>
      <c r="J324" s="28" t="s">
        <v>1014</v>
      </c>
      <c r="K324" s="28" t="s">
        <v>1066</v>
      </c>
      <c r="L324" s="28" t="s">
        <v>346</v>
      </c>
      <c r="M324" s="28" t="s">
        <v>868</v>
      </c>
      <c r="Q324" s="28" t="s">
        <v>1223</v>
      </c>
      <c r="S324" s="28" t="s">
        <v>258</v>
      </c>
      <c r="T324" s="28" t="s">
        <v>247</v>
      </c>
      <c r="U324" s="28" t="s">
        <v>319</v>
      </c>
      <c r="X324" s="28" t="s">
        <v>420</v>
      </c>
      <c r="Y324" s="28" t="s">
        <v>973</v>
      </c>
      <c r="Z324" s="28" t="s">
        <v>784</v>
      </c>
      <c r="AA324" s="28" t="s">
        <v>1886</v>
      </c>
      <c r="AB324" s="28" t="s">
        <v>1886</v>
      </c>
      <c r="AC324" s="28" t="s">
        <v>777</v>
      </c>
    </row>
    <row r="325" spans="3:30" x14ac:dyDescent="0.25">
      <c r="C325" s="28" t="s">
        <v>321</v>
      </c>
      <c r="D325" s="28" t="s">
        <v>254</v>
      </c>
      <c r="E325" s="28" t="s">
        <v>513</v>
      </c>
      <c r="F325" s="28" t="s">
        <v>390</v>
      </c>
      <c r="H325" s="28" t="s">
        <v>724</v>
      </c>
      <c r="I325" s="28" t="s">
        <v>785</v>
      </c>
      <c r="J325" s="28" t="s">
        <v>983</v>
      </c>
      <c r="K325" s="28" t="s">
        <v>1076</v>
      </c>
      <c r="M325" s="28" t="s">
        <v>869</v>
      </c>
      <c r="N325" s="28" t="s">
        <v>1171</v>
      </c>
      <c r="O325" s="28" t="s">
        <v>790</v>
      </c>
      <c r="P325" s="28" t="s">
        <v>378</v>
      </c>
      <c r="Q325" s="28" t="s">
        <v>1223</v>
      </c>
      <c r="R325" s="28" t="s">
        <v>734</v>
      </c>
      <c r="S325" s="28" t="s">
        <v>259</v>
      </c>
      <c r="T325" s="28" t="s">
        <v>258</v>
      </c>
      <c r="U325" s="28" t="s">
        <v>317</v>
      </c>
      <c r="W325" s="28" t="s">
        <v>435</v>
      </c>
      <c r="Z325" s="28" t="s">
        <v>785</v>
      </c>
      <c r="AD325" s="28" t="s">
        <v>792</v>
      </c>
    </row>
    <row r="326" spans="3:30" x14ac:dyDescent="0.25">
      <c r="D326" s="28" t="s">
        <v>262</v>
      </c>
      <c r="E326" s="28" t="s">
        <v>514</v>
      </c>
      <c r="G326" s="28" t="s">
        <v>434</v>
      </c>
      <c r="H326" s="28" t="s">
        <v>725</v>
      </c>
      <c r="J326" s="28" t="s">
        <v>864</v>
      </c>
      <c r="K326" s="28" t="s">
        <v>722</v>
      </c>
      <c r="L326" s="28" t="s">
        <v>804</v>
      </c>
      <c r="M326" s="28" t="s">
        <v>870</v>
      </c>
      <c r="O326" s="28" t="s">
        <v>791</v>
      </c>
      <c r="P326" s="28" t="s">
        <v>1357</v>
      </c>
      <c r="Q326" s="28" t="s">
        <v>1223</v>
      </c>
      <c r="R326" s="28" t="s">
        <v>1493</v>
      </c>
      <c r="T326" s="28" t="s">
        <v>259</v>
      </c>
      <c r="U326" s="28" t="s">
        <v>1636</v>
      </c>
      <c r="X326" s="28" t="s">
        <v>245</v>
      </c>
      <c r="Y326" s="28" t="s">
        <v>777</v>
      </c>
      <c r="AA326" s="28" t="s">
        <v>973</v>
      </c>
      <c r="AB326" s="28" t="s">
        <v>973</v>
      </c>
      <c r="AC326" s="28" t="s">
        <v>792</v>
      </c>
    </row>
    <row r="327" spans="3:30" x14ac:dyDescent="0.25">
      <c r="C327" s="28" t="s">
        <v>322</v>
      </c>
      <c r="D327" s="28" t="s">
        <v>254</v>
      </c>
      <c r="E327" s="28" t="s">
        <v>515</v>
      </c>
      <c r="F327" s="28" t="s">
        <v>567</v>
      </c>
      <c r="I327" s="28" t="s">
        <v>972</v>
      </c>
      <c r="K327" s="28" t="s">
        <v>1077</v>
      </c>
      <c r="M327" s="28" t="s">
        <v>870</v>
      </c>
      <c r="N327" s="28" t="s">
        <v>864</v>
      </c>
      <c r="P327" s="28" t="s">
        <v>1358</v>
      </c>
      <c r="Q327" s="28" t="s">
        <v>1223</v>
      </c>
      <c r="R327" s="28" t="s">
        <v>1494</v>
      </c>
      <c r="S327" s="28" t="s">
        <v>247</v>
      </c>
      <c r="W327" s="28" t="s">
        <v>160</v>
      </c>
      <c r="X327" s="28" t="s">
        <v>246</v>
      </c>
      <c r="Z327" s="28" t="s">
        <v>1886</v>
      </c>
      <c r="AD327" s="28" t="s">
        <v>779</v>
      </c>
    </row>
    <row r="328" spans="3:30" x14ac:dyDescent="0.25">
      <c r="C328" s="28" t="s">
        <v>323</v>
      </c>
      <c r="D328" s="28" t="s">
        <v>255</v>
      </c>
      <c r="E328" s="28" t="s">
        <v>516</v>
      </c>
      <c r="F328" s="28" t="s">
        <v>390</v>
      </c>
      <c r="G328" s="28" t="s">
        <v>435</v>
      </c>
      <c r="H328" s="28" t="s">
        <v>726</v>
      </c>
      <c r="I328" s="28" t="s">
        <v>780</v>
      </c>
      <c r="J328" s="28" t="s">
        <v>692</v>
      </c>
      <c r="K328" s="28" t="s">
        <v>722</v>
      </c>
      <c r="L328" s="28" t="s">
        <v>805</v>
      </c>
      <c r="O328" s="28" t="s">
        <v>792</v>
      </c>
      <c r="P328" s="28" t="s">
        <v>378</v>
      </c>
      <c r="Q328" s="28" t="s">
        <v>1223</v>
      </c>
      <c r="R328" s="28" t="s">
        <v>1495</v>
      </c>
      <c r="S328" s="28" t="s">
        <v>260</v>
      </c>
      <c r="T328" s="28" t="s">
        <v>247</v>
      </c>
      <c r="U328" s="28" t="s">
        <v>1637</v>
      </c>
      <c r="X328" s="28" t="s">
        <v>247</v>
      </c>
      <c r="Y328" s="28" t="s">
        <v>792</v>
      </c>
      <c r="AA328" s="28" t="s">
        <v>777</v>
      </c>
      <c r="AB328" s="28" t="s">
        <v>777</v>
      </c>
      <c r="AC328" s="28" t="s">
        <v>779</v>
      </c>
    </row>
    <row r="329" spans="3:30" x14ac:dyDescent="0.25">
      <c r="D329" s="28" t="s">
        <v>263</v>
      </c>
      <c r="E329" s="28" t="s">
        <v>517</v>
      </c>
      <c r="H329" s="28" t="s">
        <v>727</v>
      </c>
      <c r="I329" s="28" t="s">
        <v>786</v>
      </c>
      <c r="J329" s="28" t="s">
        <v>693</v>
      </c>
      <c r="K329" s="28" t="s">
        <v>722</v>
      </c>
      <c r="M329" s="28" t="s">
        <v>452</v>
      </c>
      <c r="N329" s="28" t="s">
        <v>160</v>
      </c>
      <c r="O329" s="28" t="s">
        <v>792</v>
      </c>
      <c r="P329" s="28" t="s">
        <v>747</v>
      </c>
      <c r="R329" s="28" t="s">
        <v>1495</v>
      </c>
      <c r="S329" s="28" t="s">
        <v>247</v>
      </c>
      <c r="T329" s="28" t="s">
        <v>260</v>
      </c>
      <c r="W329" s="28" t="s">
        <v>420</v>
      </c>
      <c r="X329" s="28" t="s">
        <v>248</v>
      </c>
      <c r="Z329" s="28" t="s">
        <v>973</v>
      </c>
      <c r="AD329" s="28" t="s">
        <v>787</v>
      </c>
    </row>
    <row r="330" spans="3:30" x14ac:dyDescent="0.25">
      <c r="C330" s="28" t="s">
        <v>324</v>
      </c>
      <c r="D330" s="28" t="s">
        <v>261</v>
      </c>
      <c r="E330" s="28" t="s">
        <v>518</v>
      </c>
      <c r="F330" s="28" t="s">
        <v>585</v>
      </c>
      <c r="G330" s="28" t="s">
        <v>436</v>
      </c>
      <c r="K330" s="28" t="s">
        <v>722</v>
      </c>
      <c r="L330" s="28" t="s">
        <v>363</v>
      </c>
      <c r="M330" s="28" t="s">
        <v>452</v>
      </c>
      <c r="O330" s="28" t="s">
        <v>792</v>
      </c>
      <c r="Q330" s="28" t="s">
        <v>1418</v>
      </c>
      <c r="S330" s="28" t="s">
        <v>261</v>
      </c>
      <c r="T330" s="28" t="s">
        <v>247</v>
      </c>
      <c r="U330" s="28" t="s">
        <v>1638</v>
      </c>
      <c r="X330" s="28" t="s">
        <v>245</v>
      </c>
      <c r="Y330" s="28" t="s">
        <v>779</v>
      </c>
      <c r="AA330" s="28" t="s">
        <v>792</v>
      </c>
      <c r="AB330" s="28" t="s">
        <v>792</v>
      </c>
      <c r="AC330" s="28" t="s">
        <v>787</v>
      </c>
    </row>
    <row r="331" spans="3:30" x14ac:dyDescent="0.25">
      <c r="D331" s="28" t="s">
        <v>245</v>
      </c>
      <c r="E331" s="28" t="s">
        <v>519</v>
      </c>
      <c r="G331" s="28" t="s">
        <v>437</v>
      </c>
      <c r="H331" s="28" t="s">
        <v>703</v>
      </c>
      <c r="I331" s="28" t="s">
        <v>787</v>
      </c>
      <c r="J331" s="28" t="s">
        <v>694</v>
      </c>
      <c r="M331" s="28" t="s">
        <v>452</v>
      </c>
      <c r="N331" s="28" t="s">
        <v>160</v>
      </c>
      <c r="P331" s="28" t="s">
        <v>1359</v>
      </c>
      <c r="Q331" s="28" t="s">
        <v>1419</v>
      </c>
      <c r="R331" s="28" t="s">
        <v>1355</v>
      </c>
      <c r="S331" s="28" t="s">
        <v>254</v>
      </c>
      <c r="T331" s="28" t="s">
        <v>261</v>
      </c>
      <c r="W331" s="28" t="s">
        <v>419</v>
      </c>
      <c r="X331" s="28" t="s">
        <v>249</v>
      </c>
      <c r="Z331" s="28" t="s">
        <v>777</v>
      </c>
      <c r="AD331" s="28" t="s">
        <v>789</v>
      </c>
    </row>
    <row r="332" spans="3:30" x14ac:dyDescent="0.25">
      <c r="C332" s="28" t="s">
        <v>325</v>
      </c>
      <c r="D332" s="28" t="s">
        <v>264</v>
      </c>
      <c r="E332" s="28" t="s">
        <v>520</v>
      </c>
      <c r="F332" s="28" t="s">
        <v>419</v>
      </c>
      <c r="H332" s="28" t="s">
        <v>728</v>
      </c>
      <c r="J332" s="28" t="s">
        <v>695</v>
      </c>
      <c r="K332" s="28" t="s">
        <v>1078</v>
      </c>
      <c r="L332" s="28" t="s">
        <v>160</v>
      </c>
      <c r="N332" s="28" t="s">
        <v>160</v>
      </c>
      <c r="O332" s="28" t="s">
        <v>779</v>
      </c>
      <c r="P332" s="28" t="s">
        <v>1360</v>
      </c>
      <c r="Q332" s="28" t="s">
        <v>1419</v>
      </c>
      <c r="R332" s="28" t="s">
        <v>1355</v>
      </c>
      <c r="S332" s="28" t="s">
        <v>262</v>
      </c>
      <c r="T332" s="28" t="s">
        <v>254</v>
      </c>
      <c r="U332" s="28" t="s">
        <v>1639</v>
      </c>
      <c r="W332" s="28" t="s">
        <v>212</v>
      </c>
      <c r="X332" s="28" t="s">
        <v>247</v>
      </c>
      <c r="Y332" s="28" t="s">
        <v>787</v>
      </c>
      <c r="AA332" s="28" t="s">
        <v>779</v>
      </c>
      <c r="AB332" s="28" t="s">
        <v>779</v>
      </c>
      <c r="AC332" s="28" t="s">
        <v>789</v>
      </c>
    </row>
    <row r="333" spans="3:30" x14ac:dyDescent="0.25">
      <c r="E333" s="28" t="s">
        <v>521</v>
      </c>
      <c r="F333" s="28" t="s">
        <v>419</v>
      </c>
      <c r="G333" s="28" t="s">
        <v>438</v>
      </c>
      <c r="H333" s="28" t="s">
        <v>729</v>
      </c>
      <c r="I333" s="28" t="s">
        <v>973</v>
      </c>
      <c r="K333" s="28" t="s">
        <v>1079</v>
      </c>
      <c r="M333" s="28" t="s">
        <v>845</v>
      </c>
      <c r="O333" s="28" t="s">
        <v>779</v>
      </c>
      <c r="Q333" s="28" t="s">
        <v>1419</v>
      </c>
      <c r="R333" s="28" t="s">
        <v>1355</v>
      </c>
      <c r="S333" s="28" t="s">
        <v>254</v>
      </c>
      <c r="T333" s="28" t="s">
        <v>262</v>
      </c>
      <c r="U333" s="28" t="s">
        <v>1640</v>
      </c>
      <c r="X333" s="28" t="s">
        <v>250</v>
      </c>
      <c r="Z333" s="28" t="s">
        <v>792</v>
      </c>
      <c r="AD333" s="28" t="s">
        <v>790</v>
      </c>
    </row>
    <row r="334" spans="3:30" x14ac:dyDescent="0.25">
      <c r="C334" s="28" t="s">
        <v>43</v>
      </c>
      <c r="D334" s="28" t="s">
        <v>255</v>
      </c>
      <c r="E334" s="28" t="s">
        <v>522</v>
      </c>
      <c r="F334" s="28" t="s">
        <v>244</v>
      </c>
      <c r="G334" s="28" t="s">
        <v>439</v>
      </c>
      <c r="H334" s="28" t="s">
        <v>730</v>
      </c>
      <c r="I334" s="28" t="s">
        <v>973</v>
      </c>
      <c r="J334" s="28" t="s">
        <v>723</v>
      </c>
      <c r="K334" s="28" t="s">
        <v>219</v>
      </c>
      <c r="L334" s="28" t="s">
        <v>212</v>
      </c>
      <c r="M334" s="28" t="s">
        <v>846</v>
      </c>
      <c r="N334" s="28" t="s">
        <v>160</v>
      </c>
      <c r="O334" s="28" t="s">
        <v>779</v>
      </c>
      <c r="P334" s="28" t="s">
        <v>750</v>
      </c>
      <c r="Q334" s="28" t="s">
        <v>1419</v>
      </c>
      <c r="R334" s="28" t="s">
        <v>1355</v>
      </c>
      <c r="S334" s="28" t="s">
        <v>255</v>
      </c>
      <c r="T334" s="28" t="s">
        <v>254</v>
      </c>
      <c r="U334" s="28" t="s">
        <v>1641</v>
      </c>
      <c r="W334" s="28" t="s">
        <v>1678</v>
      </c>
      <c r="X334" s="28" t="s">
        <v>251</v>
      </c>
      <c r="Y334" s="28" t="s">
        <v>789</v>
      </c>
      <c r="AA334" s="28" t="s">
        <v>787</v>
      </c>
      <c r="AB334" s="28" t="s">
        <v>787</v>
      </c>
      <c r="AC334" s="28" t="s">
        <v>790</v>
      </c>
      <c r="AD334" s="28" t="s">
        <v>791</v>
      </c>
    </row>
    <row r="335" spans="3:30" x14ac:dyDescent="0.25">
      <c r="C335" s="28" t="s">
        <v>326</v>
      </c>
      <c r="E335" s="28" t="s">
        <v>523</v>
      </c>
      <c r="G335" s="28" t="s">
        <v>440</v>
      </c>
      <c r="H335" s="28" t="s">
        <v>225</v>
      </c>
      <c r="I335" s="28" t="s">
        <v>973</v>
      </c>
      <c r="K335" s="28" t="s">
        <v>1079</v>
      </c>
      <c r="Q335" s="28" t="s">
        <v>1419</v>
      </c>
      <c r="S335" s="28" t="s">
        <v>263</v>
      </c>
      <c r="T335" s="28" t="s">
        <v>255</v>
      </c>
      <c r="X335" s="28" t="s">
        <v>245</v>
      </c>
      <c r="Z335" s="28" t="s">
        <v>779</v>
      </c>
      <c r="AC335" s="28" t="s">
        <v>791</v>
      </c>
    </row>
    <row r="336" spans="3:30" x14ac:dyDescent="0.25">
      <c r="C336" s="28" t="s">
        <v>327</v>
      </c>
      <c r="D336" s="28" t="s">
        <v>250</v>
      </c>
      <c r="F336" s="28" t="s">
        <v>585</v>
      </c>
      <c r="H336" s="28" t="s">
        <v>731</v>
      </c>
      <c r="J336" s="28" t="s">
        <v>724</v>
      </c>
      <c r="K336" s="28" t="s">
        <v>219</v>
      </c>
      <c r="L336" s="28" t="s">
        <v>77</v>
      </c>
      <c r="M336" s="28" t="s">
        <v>847</v>
      </c>
      <c r="N336" s="28" t="s">
        <v>160</v>
      </c>
      <c r="O336" s="28" t="s">
        <v>793</v>
      </c>
      <c r="P336" s="28" t="s">
        <v>751</v>
      </c>
      <c r="R336" s="28" t="s">
        <v>1496</v>
      </c>
      <c r="S336" s="28" t="s">
        <v>261</v>
      </c>
      <c r="T336" s="28" t="s">
        <v>263</v>
      </c>
      <c r="U336" s="28" t="s">
        <v>43</v>
      </c>
      <c r="W336" s="28" t="s">
        <v>435</v>
      </c>
      <c r="X336" s="28" t="s">
        <v>252</v>
      </c>
      <c r="Y336" s="28" t="s">
        <v>790</v>
      </c>
      <c r="AA336" s="28" t="s">
        <v>789</v>
      </c>
      <c r="AB336" s="28" t="s">
        <v>789</v>
      </c>
      <c r="AD336" s="28" t="s">
        <v>793</v>
      </c>
    </row>
    <row r="337" spans="3:30" x14ac:dyDescent="0.25">
      <c r="D337" s="28" t="s">
        <v>261</v>
      </c>
      <c r="E337" s="28" t="s">
        <v>212</v>
      </c>
      <c r="G337" s="28" t="s">
        <v>546</v>
      </c>
      <c r="H337" s="28" t="s">
        <v>732</v>
      </c>
      <c r="I337" s="28" t="s">
        <v>789</v>
      </c>
      <c r="J337" s="28" t="s">
        <v>725</v>
      </c>
      <c r="K337" s="28" t="s">
        <v>219</v>
      </c>
      <c r="M337" s="28" t="s">
        <v>848</v>
      </c>
      <c r="O337" s="28" t="s">
        <v>794</v>
      </c>
      <c r="Q337" s="28" t="s">
        <v>1339</v>
      </c>
      <c r="S337" s="28" t="s">
        <v>245</v>
      </c>
      <c r="T337" s="28" t="s">
        <v>261</v>
      </c>
      <c r="U337" s="28" t="s">
        <v>326</v>
      </c>
      <c r="Y337" s="28" t="s">
        <v>791</v>
      </c>
      <c r="Z337" s="28" t="s">
        <v>787</v>
      </c>
      <c r="AC337" s="28" t="s">
        <v>793</v>
      </c>
      <c r="AD337" s="28" t="s">
        <v>794</v>
      </c>
    </row>
    <row r="338" spans="3:30" x14ac:dyDescent="0.25">
      <c r="C338" s="28" t="s">
        <v>328</v>
      </c>
      <c r="D338" s="28" t="s">
        <v>245</v>
      </c>
      <c r="E338" s="28" t="s">
        <v>212</v>
      </c>
      <c r="F338" s="28" t="s">
        <v>422</v>
      </c>
      <c r="G338" s="28" t="s">
        <v>390</v>
      </c>
      <c r="H338" s="28" t="s">
        <v>731</v>
      </c>
      <c r="K338" s="28" t="s">
        <v>219</v>
      </c>
      <c r="L338" s="28" t="s">
        <v>806</v>
      </c>
      <c r="N338" s="28" t="s">
        <v>243</v>
      </c>
      <c r="P338" s="28" t="s">
        <v>703</v>
      </c>
      <c r="Q338" s="28" t="s">
        <v>1340</v>
      </c>
      <c r="R338" s="28" t="s">
        <v>740</v>
      </c>
      <c r="S338" s="28" t="s">
        <v>264</v>
      </c>
      <c r="T338" s="28" t="s">
        <v>245</v>
      </c>
      <c r="U338" s="28" t="s">
        <v>1642</v>
      </c>
      <c r="W338" s="28" t="s">
        <v>433</v>
      </c>
      <c r="X338" s="28" t="s">
        <v>253</v>
      </c>
      <c r="AA338" s="28" t="s">
        <v>790</v>
      </c>
      <c r="AB338" s="28" t="s">
        <v>790</v>
      </c>
      <c r="AC338" s="28" t="s">
        <v>794</v>
      </c>
    </row>
    <row r="339" spans="3:30" x14ac:dyDescent="0.25">
      <c r="C339" s="28" t="s">
        <v>329</v>
      </c>
      <c r="D339" s="28" t="s">
        <v>263</v>
      </c>
      <c r="E339" s="28" t="s">
        <v>212</v>
      </c>
      <c r="F339" s="28" t="s">
        <v>545</v>
      </c>
      <c r="G339" s="28" t="s">
        <v>608</v>
      </c>
      <c r="H339" s="28" t="s">
        <v>731</v>
      </c>
      <c r="I339" s="28" t="s">
        <v>777</v>
      </c>
      <c r="J339" s="28" t="s">
        <v>726</v>
      </c>
      <c r="L339" s="28" t="s">
        <v>807</v>
      </c>
      <c r="M339" s="28" t="s">
        <v>678</v>
      </c>
      <c r="O339" s="28" t="s">
        <v>795</v>
      </c>
      <c r="P339" s="28" t="s">
        <v>368</v>
      </c>
      <c r="Q339" s="28" t="s">
        <v>1420</v>
      </c>
      <c r="R339" s="28" t="s">
        <v>741</v>
      </c>
      <c r="T339" s="28" t="s">
        <v>264</v>
      </c>
      <c r="Y339" s="28" t="s">
        <v>793</v>
      </c>
      <c r="Z339" s="28" t="s">
        <v>789</v>
      </c>
      <c r="AA339" s="28" t="s">
        <v>791</v>
      </c>
      <c r="AB339" s="28" t="s">
        <v>791</v>
      </c>
      <c r="AD339" s="28" t="s">
        <v>795</v>
      </c>
    </row>
    <row r="340" spans="3:30" x14ac:dyDescent="0.25">
      <c r="D340" s="28" t="s">
        <v>254</v>
      </c>
      <c r="E340" s="28" t="s">
        <v>212</v>
      </c>
      <c r="F340" s="28" t="s">
        <v>212</v>
      </c>
      <c r="H340" s="28" t="s">
        <v>732</v>
      </c>
      <c r="I340" s="28" t="s">
        <v>777</v>
      </c>
      <c r="J340" s="28" t="s">
        <v>727</v>
      </c>
      <c r="K340" s="28" t="s">
        <v>1078</v>
      </c>
      <c r="M340" s="28" t="s">
        <v>982</v>
      </c>
      <c r="N340" s="28" t="s">
        <v>243</v>
      </c>
      <c r="O340" s="28" t="s">
        <v>796</v>
      </c>
      <c r="Q340" s="28" t="s">
        <v>1318</v>
      </c>
      <c r="R340" s="28" t="s">
        <v>742</v>
      </c>
      <c r="S340" s="28" t="s">
        <v>255</v>
      </c>
      <c r="U340" s="28" t="s">
        <v>1643</v>
      </c>
      <c r="W340" s="28" t="s">
        <v>243</v>
      </c>
      <c r="X340" s="28" t="s">
        <v>254</v>
      </c>
      <c r="Y340" s="28" t="s">
        <v>794</v>
      </c>
      <c r="AC340" s="28" t="s">
        <v>795</v>
      </c>
      <c r="AD340" s="28" t="s">
        <v>796</v>
      </c>
    </row>
    <row r="341" spans="3:30" x14ac:dyDescent="0.25">
      <c r="C341" s="28" t="s">
        <v>330</v>
      </c>
      <c r="D341" s="28" t="s">
        <v>253</v>
      </c>
      <c r="E341" s="28" t="s">
        <v>422</v>
      </c>
      <c r="G341" s="28" t="s">
        <v>419</v>
      </c>
      <c r="H341" s="28" t="s">
        <v>733</v>
      </c>
      <c r="I341" s="28" t="s">
        <v>777</v>
      </c>
      <c r="K341" s="28" t="s">
        <v>1079</v>
      </c>
      <c r="L341" s="28" t="s">
        <v>808</v>
      </c>
      <c r="M341" s="28" t="s">
        <v>1144</v>
      </c>
      <c r="P341" s="28" t="s">
        <v>752</v>
      </c>
      <c r="Q341" s="28" t="s">
        <v>1318</v>
      </c>
      <c r="R341" s="28" t="s">
        <v>743</v>
      </c>
      <c r="T341" s="28" t="s">
        <v>255</v>
      </c>
      <c r="X341" s="28" t="s">
        <v>255</v>
      </c>
      <c r="Z341" s="28" t="s">
        <v>790</v>
      </c>
      <c r="AA341" s="28" t="s">
        <v>793</v>
      </c>
      <c r="AB341" s="28" t="s">
        <v>793</v>
      </c>
      <c r="AC341" s="28" t="s">
        <v>796</v>
      </c>
    </row>
    <row r="342" spans="3:30" x14ac:dyDescent="0.25">
      <c r="E342" s="28" t="s">
        <v>213</v>
      </c>
      <c r="F342" s="28" t="s">
        <v>243</v>
      </c>
      <c r="G342" s="28" t="s">
        <v>422</v>
      </c>
      <c r="J342" s="28" t="s">
        <v>703</v>
      </c>
      <c r="K342" s="28" t="s">
        <v>219</v>
      </c>
      <c r="N342" s="28" t="s">
        <v>1202</v>
      </c>
      <c r="O342" s="28" t="s">
        <v>341</v>
      </c>
      <c r="Q342" s="28" t="s">
        <v>1421</v>
      </c>
      <c r="R342" s="28" t="s">
        <v>744</v>
      </c>
      <c r="S342" s="28" t="s">
        <v>250</v>
      </c>
      <c r="U342" s="28" t="s">
        <v>328</v>
      </c>
      <c r="W342" s="28" t="s">
        <v>285</v>
      </c>
      <c r="X342" s="28" t="s">
        <v>248</v>
      </c>
      <c r="Y342" s="28" t="s">
        <v>795</v>
      </c>
      <c r="Z342" s="28" t="s">
        <v>791</v>
      </c>
      <c r="AA342" s="28" t="s">
        <v>794</v>
      </c>
      <c r="AB342" s="28" t="s">
        <v>794</v>
      </c>
      <c r="AD342" s="28" t="s">
        <v>341</v>
      </c>
    </row>
    <row r="343" spans="3:30" x14ac:dyDescent="0.25">
      <c r="C343" s="28" t="s">
        <v>331</v>
      </c>
      <c r="D343" s="28" t="s">
        <v>254</v>
      </c>
      <c r="E343" s="28" t="s">
        <v>213</v>
      </c>
      <c r="F343" s="28" t="s">
        <v>243</v>
      </c>
      <c r="G343" s="28" t="s">
        <v>160</v>
      </c>
      <c r="H343" s="28" t="s">
        <v>734</v>
      </c>
      <c r="I343" s="28" t="s">
        <v>790</v>
      </c>
      <c r="J343" s="28" t="s">
        <v>728</v>
      </c>
      <c r="K343" s="28" t="s">
        <v>1079</v>
      </c>
      <c r="L343" s="28" t="s">
        <v>809</v>
      </c>
      <c r="M343" s="28" t="s">
        <v>864</v>
      </c>
      <c r="O343" s="28" t="s">
        <v>797</v>
      </c>
      <c r="P343" s="28" t="s">
        <v>753</v>
      </c>
      <c r="Q343" s="28" t="s">
        <v>1421</v>
      </c>
      <c r="S343" s="28" t="s">
        <v>261</v>
      </c>
      <c r="T343" s="28" t="s">
        <v>250</v>
      </c>
      <c r="U343" s="28" t="s">
        <v>329</v>
      </c>
      <c r="X343" s="28" t="s">
        <v>246</v>
      </c>
      <c r="Y343" s="28" t="s">
        <v>796</v>
      </c>
      <c r="AC343" s="28" t="s">
        <v>341</v>
      </c>
      <c r="AD343" s="28" t="s">
        <v>797</v>
      </c>
    </row>
    <row r="344" spans="3:30" x14ac:dyDescent="0.25">
      <c r="D344" s="28" t="s">
        <v>255</v>
      </c>
      <c r="E344" s="28" t="s">
        <v>212</v>
      </c>
      <c r="F344" s="28" t="s">
        <v>212</v>
      </c>
      <c r="H344" s="28" t="s">
        <v>735</v>
      </c>
      <c r="I344" s="28" t="s">
        <v>791</v>
      </c>
      <c r="J344" s="28" t="s">
        <v>729</v>
      </c>
      <c r="K344" s="28" t="s">
        <v>219</v>
      </c>
      <c r="L344" s="28" t="s">
        <v>810</v>
      </c>
      <c r="N344" s="28" t="s">
        <v>212</v>
      </c>
      <c r="O344" s="28" t="s">
        <v>798</v>
      </c>
      <c r="Q344" s="28" t="s">
        <v>1422</v>
      </c>
      <c r="R344" s="28" t="s">
        <v>378</v>
      </c>
      <c r="S344" s="28" t="s">
        <v>245</v>
      </c>
      <c r="T344" s="28" t="s">
        <v>261</v>
      </c>
      <c r="W344" s="28" t="s">
        <v>420</v>
      </c>
      <c r="X344" s="28" t="s">
        <v>256</v>
      </c>
      <c r="Z344" s="28" t="s">
        <v>793</v>
      </c>
      <c r="AA344" s="28" t="s">
        <v>795</v>
      </c>
      <c r="AB344" s="28" t="s">
        <v>795</v>
      </c>
      <c r="AC344" s="28" t="s">
        <v>797</v>
      </c>
      <c r="AD344" s="28" t="s">
        <v>798</v>
      </c>
    </row>
    <row r="345" spans="3:30" x14ac:dyDescent="0.25">
      <c r="C345" s="28" t="s">
        <v>332</v>
      </c>
      <c r="D345" s="28" t="s">
        <v>248</v>
      </c>
      <c r="E345" s="28" t="s">
        <v>212</v>
      </c>
      <c r="G345" s="28" t="s">
        <v>424</v>
      </c>
      <c r="H345" s="28" t="s">
        <v>736</v>
      </c>
      <c r="J345" s="28" t="s">
        <v>730</v>
      </c>
      <c r="K345" s="28" t="s">
        <v>219</v>
      </c>
      <c r="L345" s="28" t="s">
        <v>811</v>
      </c>
      <c r="M345" s="28" t="s">
        <v>1137</v>
      </c>
      <c r="O345" s="28" t="s">
        <v>799</v>
      </c>
      <c r="P345" s="28" t="s">
        <v>754</v>
      </c>
      <c r="R345" s="28" t="s">
        <v>1357</v>
      </c>
      <c r="S345" s="28" t="s">
        <v>263</v>
      </c>
      <c r="T345" s="28" t="s">
        <v>245</v>
      </c>
      <c r="U345" s="28" t="s">
        <v>1644</v>
      </c>
      <c r="X345" s="28" t="s">
        <v>254</v>
      </c>
      <c r="Y345" s="28" t="s">
        <v>341</v>
      </c>
      <c r="Z345" s="28" t="s">
        <v>794</v>
      </c>
      <c r="AA345" s="28" t="s">
        <v>796</v>
      </c>
      <c r="AB345" s="28" t="s">
        <v>796</v>
      </c>
      <c r="AC345" s="28" t="s">
        <v>798</v>
      </c>
      <c r="AD345" s="28" t="s">
        <v>799</v>
      </c>
    </row>
    <row r="346" spans="3:30" x14ac:dyDescent="0.25">
      <c r="D346" s="28" t="s">
        <v>246</v>
      </c>
      <c r="E346" s="28" t="s">
        <v>212</v>
      </c>
      <c r="F346" s="28" t="s">
        <v>426</v>
      </c>
      <c r="H346" s="28" t="s">
        <v>737</v>
      </c>
      <c r="I346" s="28" t="s">
        <v>792</v>
      </c>
      <c r="J346" s="28" t="s">
        <v>225</v>
      </c>
      <c r="K346" s="28" t="s">
        <v>219</v>
      </c>
      <c r="L346" s="28" t="s">
        <v>812</v>
      </c>
      <c r="N346" s="28" t="s">
        <v>212</v>
      </c>
      <c r="P346" s="28" t="s">
        <v>755</v>
      </c>
      <c r="Q346" s="28" t="s">
        <v>502</v>
      </c>
      <c r="R346" s="28" t="s">
        <v>1358</v>
      </c>
      <c r="S346" s="28" t="s">
        <v>254</v>
      </c>
      <c r="T346" s="28" t="s">
        <v>263</v>
      </c>
      <c r="W346" s="28" t="s">
        <v>241</v>
      </c>
      <c r="X346" s="28" t="s">
        <v>255</v>
      </c>
      <c r="Y346" s="28" t="s">
        <v>797</v>
      </c>
      <c r="AC346" s="28" t="s">
        <v>799</v>
      </c>
    </row>
    <row r="347" spans="3:30" x14ac:dyDescent="0.25">
      <c r="C347" s="28" t="s">
        <v>333</v>
      </c>
      <c r="D347" s="28" t="s">
        <v>256</v>
      </c>
      <c r="E347" s="28" t="s">
        <v>212</v>
      </c>
      <c r="F347" s="28" t="s">
        <v>390</v>
      </c>
      <c r="G347" s="28" t="s">
        <v>425</v>
      </c>
      <c r="H347" s="28" t="s">
        <v>736</v>
      </c>
      <c r="I347" s="28" t="s">
        <v>792</v>
      </c>
      <c r="J347" s="28" t="s">
        <v>731</v>
      </c>
      <c r="L347" s="28" t="s">
        <v>809</v>
      </c>
      <c r="M347" s="28" t="s">
        <v>285</v>
      </c>
      <c r="O347" s="28" t="s">
        <v>82</v>
      </c>
      <c r="Q347" s="28" t="s">
        <v>452</v>
      </c>
      <c r="R347" s="28" t="s">
        <v>378</v>
      </c>
      <c r="S347" s="28" t="s">
        <v>253</v>
      </c>
      <c r="T347" s="28" t="s">
        <v>254</v>
      </c>
      <c r="U347" s="28" t="s">
        <v>1645</v>
      </c>
      <c r="X347" s="28" t="s">
        <v>257</v>
      </c>
      <c r="Y347" s="28" t="s">
        <v>798</v>
      </c>
      <c r="Z347" s="28" t="s">
        <v>795</v>
      </c>
      <c r="AA347" s="28" t="s">
        <v>341</v>
      </c>
      <c r="AB347" s="28" t="s">
        <v>341</v>
      </c>
      <c r="AD347" s="28" t="s">
        <v>1973</v>
      </c>
    </row>
    <row r="348" spans="3:30" x14ac:dyDescent="0.25">
      <c r="C348" s="28" t="s">
        <v>334</v>
      </c>
      <c r="E348" s="28" t="s">
        <v>422</v>
      </c>
      <c r="F348" s="28" t="s">
        <v>598</v>
      </c>
      <c r="G348" s="28" t="s">
        <v>390</v>
      </c>
      <c r="H348" s="28" t="s">
        <v>736</v>
      </c>
      <c r="I348" s="28" t="s">
        <v>792</v>
      </c>
      <c r="J348" s="28" t="s">
        <v>731</v>
      </c>
      <c r="K348" s="28" t="s">
        <v>1080</v>
      </c>
      <c r="L348" s="28" t="s">
        <v>813</v>
      </c>
      <c r="N348" s="28" t="s">
        <v>1175</v>
      </c>
      <c r="O348" s="28" t="s">
        <v>73</v>
      </c>
      <c r="P348" s="28" t="s">
        <v>756</v>
      </c>
      <c r="Q348" s="28" t="s">
        <v>452</v>
      </c>
      <c r="R348" s="28" t="s">
        <v>747</v>
      </c>
      <c r="T348" s="28" t="s">
        <v>253</v>
      </c>
      <c r="W348" s="28" t="s">
        <v>549</v>
      </c>
      <c r="X348" s="28" t="s">
        <v>247</v>
      </c>
      <c r="Y348" s="28" t="s">
        <v>799</v>
      </c>
      <c r="Z348" s="28" t="s">
        <v>796</v>
      </c>
      <c r="AA348" s="28" t="s">
        <v>797</v>
      </c>
      <c r="AB348" s="28" t="s">
        <v>797</v>
      </c>
      <c r="AC348" s="28" t="s">
        <v>1972</v>
      </c>
    </row>
    <row r="349" spans="3:30" x14ac:dyDescent="0.25">
      <c r="D349" s="28" t="s">
        <v>265</v>
      </c>
      <c r="E349" s="28" t="s">
        <v>213</v>
      </c>
      <c r="H349" s="28" t="s">
        <v>737</v>
      </c>
      <c r="J349" s="28" t="s">
        <v>732</v>
      </c>
      <c r="L349" s="28" t="s">
        <v>811</v>
      </c>
      <c r="M349" s="28" t="s">
        <v>243</v>
      </c>
      <c r="O349" s="28" t="s">
        <v>43</v>
      </c>
      <c r="P349" s="28" t="s">
        <v>757</v>
      </c>
      <c r="Q349" s="28" t="s">
        <v>452</v>
      </c>
      <c r="S349" s="28" t="s">
        <v>254</v>
      </c>
      <c r="U349" s="28" t="s">
        <v>1646</v>
      </c>
      <c r="X349" s="28" t="s">
        <v>258</v>
      </c>
      <c r="AA349" s="28" t="s">
        <v>798</v>
      </c>
      <c r="AB349" s="28" t="s">
        <v>798</v>
      </c>
      <c r="AD349" s="28" t="s">
        <v>777</v>
      </c>
    </row>
    <row r="350" spans="3:30" x14ac:dyDescent="0.25">
      <c r="C350" s="28" t="s">
        <v>335</v>
      </c>
      <c r="D350" s="28" t="s">
        <v>266</v>
      </c>
      <c r="E350" s="28" t="s">
        <v>213</v>
      </c>
      <c r="F350" s="28" t="s">
        <v>585</v>
      </c>
      <c r="G350" s="28" t="s">
        <v>424</v>
      </c>
      <c r="I350" s="28" t="s">
        <v>779</v>
      </c>
      <c r="J350" s="28" t="s">
        <v>732</v>
      </c>
      <c r="K350" s="28" t="s">
        <v>1081</v>
      </c>
      <c r="L350" s="28" t="s">
        <v>814</v>
      </c>
      <c r="N350" s="28" t="s">
        <v>1203</v>
      </c>
      <c r="Q350" s="28" t="s">
        <v>452</v>
      </c>
      <c r="R350" s="28" t="s">
        <v>1359</v>
      </c>
      <c r="S350" s="28" t="s">
        <v>255</v>
      </c>
      <c r="T350" s="28" t="s">
        <v>254</v>
      </c>
      <c r="W350" s="28" t="s">
        <v>436</v>
      </c>
      <c r="X350" s="28" t="s">
        <v>259</v>
      </c>
      <c r="Y350" s="28" t="s">
        <v>1881</v>
      </c>
      <c r="Z350" s="28" t="s">
        <v>341</v>
      </c>
      <c r="AA350" s="28" t="s">
        <v>799</v>
      </c>
      <c r="AB350" s="28" t="s">
        <v>799</v>
      </c>
      <c r="AC350" s="28" t="s">
        <v>777</v>
      </c>
    </row>
    <row r="351" spans="3:30" x14ac:dyDescent="0.25">
      <c r="C351" s="28" t="s">
        <v>336</v>
      </c>
      <c r="D351" s="28" t="s">
        <v>267</v>
      </c>
      <c r="E351" s="28" t="s">
        <v>212</v>
      </c>
      <c r="H351" s="28" t="s">
        <v>738</v>
      </c>
      <c r="I351" s="28" t="s">
        <v>779</v>
      </c>
      <c r="J351" s="28" t="s">
        <v>1015</v>
      </c>
      <c r="L351" s="28" t="s">
        <v>815</v>
      </c>
      <c r="M351" s="28" t="s">
        <v>420</v>
      </c>
      <c r="O351" s="28" t="s">
        <v>972</v>
      </c>
      <c r="P351" s="28" t="s">
        <v>1342</v>
      </c>
      <c r="Q351" s="28" t="s">
        <v>452</v>
      </c>
      <c r="R351" s="28" t="s">
        <v>1360</v>
      </c>
      <c r="S351" s="28" t="s">
        <v>248</v>
      </c>
      <c r="T351" s="28" t="s">
        <v>255</v>
      </c>
      <c r="U351" s="28" t="s">
        <v>1647</v>
      </c>
      <c r="W351" s="28" t="s">
        <v>437</v>
      </c>
      <c r="Z351" s="28" t="s">
        <v>797</v>
      </c>
      <c r="AD351" s="28" t="s">
        <v>800</v>
      </c>
    </row>
    <row r="352" spans="3:30" x14ac:dyDescent="0.25">
      <c r="D352" s="28" t="s">
        <v>268</v>
      </c>
      <c r="E352" s="28" t="s">
        <v>212</v>
      </c>
      <c r="F352" s="28" t="s">
        <v>599</v>
      </c>
      <c r="G352" s="28" t="s">
        <v>608</v>
      </c>
      <c r="H352" s="28" t="s">
        <v>738</v>
      </c>
      <c r="I352" s="28" t="s">
        <v>779</v>
      </c>
      <c r="K352" s="28" t="s">
        <v>723</v>
      </c>
      <c r="L352" s="28" t="s">
        <v>809</v>
      </c>
      <c r="N352" s="28" t="s">
        <v>1204</v>
      </c>
      <c r="O352" s="28" t="s">
        <v>780</v>
      </c>
      <c r="S352" s="28" t="s">
        <v>246</v>
      </c>
      <c r="T352" s="28" t="s">
        <v>248</v>
      </c>
      <c r="X352" s="28" t="s">
        <v>247</v>
      </c>
      <c r="Y352" s="28" t="s">
        <v>777</v>
      </c>
      <c r="Z352" s="28" t="s">
        <v>798</v>
      </c>
      <c r="AA352" s="28" t="s">
        <v>1944</v>
      </c>
      <c r="AB352" s="28" t="s">
        <v>1953</v>
      </c>
      <c r="AC352" s="28" t="s">
        <v>800</v>
      </c>
      <c r="AD352" s="28" t="s">
        <v>773</v>
      </c>
    </row>
    <row r="353" spans="3:30" x14ac:dyDescent="0.25">
      <c r="C353" s="28" t="s">
        <v>337</v>
      </c>
      <c r="D353" s="28" t="s">
        <v>269</v>
      </c>
      <c r="E353" s="28" t="s">
        <v>212</v>
      </c>
      <c r="H353" s="28" t="s">
        <v>738</v>
      </c>
      <c r="J353" s="28" t="s">
        <v>734</v>
      </c>
      <c r="L353" s="28" t="s">
        <v>816</v>
      </c>
      <c r="M353" s="28" t="s">
        <v>1131</v>
      </c>
      <c r="O353" s="28" t="s">
        <v>786</v>
      </c>
      <c r="P353" s="28" t="s">
        <v>1361</v>
      </c>
      <c r="Q353" s="28" t="s">
        <v>849</v>
      </c>
      <c r="R353" s="28" t="s">
        <v>750</v>
      </c>
      <c r="S353" s="28" t="s">
        <v>256</v>
      </c>
      <c r="T353" s="28" t="s">
        <v>246</v>
      </c>
      <c r="U353" s="28" t="s">
        <v>1648</v>
      </c>
      <c r="W353" s="28" t="s">
        <v>438</v>
      </c>
      <c r="X353" s="28" t="s">
        <v>260</v>
      </c>
      <c r="Z353" s="28" t="s">
        <v>799</v>
      </c>
      <c r="AC353" s="28" t="s">
        <v>773</v>
      </c>
      <c r="AD353" s="28" t="s">
        <v>1886</v>
      </c>
    </row>
    <row r="354" spans="3:30" x14ac:dyDescent="0.25">
      <c r="D354" s="28" t="s">
        <v>270</v>
      </c>
      <c r="E354" s="28" t="s">
        <v>212</v>
      </c>
      <c r="F354" s="28" t="s">
        <v>598</v>
      </c>
      <c r="G354" s="28" t="s">
        <v>422</v>
      </c>
      <c r="H354" s="28" t="s">
        <v>738</v>
      </c>
      <c r="I354" s="28" t="s">
        <v>793</v>
      </c>
      <c r="J354" s="28" t="s">
        <v>216</v>
      </c>
      <c r="K354" s="28" t="s">
        <v>724</v>
      </c>
      <c r="N354" s="28" t="s">
        <v>243</v>
      </c>
      <c r="O354" s="28" t="s">
        <v>800</v>
      </c>
      <c r="Q354" s="28" t="s">
        <v>850</v>
      </c>
      <c r="T354" s="28" t="s">
        <v>256</v>
      </c>
      <c r="W354" s="28" t="s">
        <v>439</v>
      </c>
      <c r="X354" s="28" t="s">
        <v>247</v>
      </c>
      <c r="Y354" s="28" t="s">
        <v>800</v>
      </c>
      <c r="AA354" s="28" t="s">
        <v>777</v>
      </c>
      <c r="AB354" s="28" t="s">
        <v>777</v>
      </c>
      <c r="AC354" s="28" t="s">
        <v>1886</v>
      </c>
      <c r="AD354" s="28" t="s">
        <v>801</v>
      </c>
    </row>
    <row r="355" spans="3:30" x14ac:dyDescent="0.25">
      <c r="C355" s="28" t="s">
        <v>338</v>
      </c>
      <c r="D355" s="28" t="s">
        <v>268</v>
      </c>
      <c r="E355" s="28" t="s">
        <v>422</v>
      </c>
      <c r="G355" s="28" t="s">
        <v>244</v>
      </c>
      <c r="H355" s="28" t="s">
        <v>738</v>
      </c>
      <c r="I355" s="28" t="s">
        <v>794</v>
      </c>
      <c r="J355" s="28" t="s">
        <v>736</v>
      </c>
      <c r="K355" s="28" t="s">
        <v>725</v>
      </c>
      <c r="L355" s="28" t="s">
        <v>253</v>
      </c>
      <c r="M355" s="28" t="s">
        <v>424</v>
      </c>
      <c r="O355" s="28" t="s">
        <v>773</v>
      </c>
      <c r="P355" s="28" t="s">
        <v>160</v>
      </c>
      <c r="Q355" s="28" t="s">
        <v>1423</v>
      </c>
      <c r="R355" s="28" t="s">
        <v>751</v>
      </c>
      <c r="S355" s="28" t="s">
        <v>265</v>
      </c>
      <c r="U355" s="28" t="s">
        <v>333</v>
      </c>
      <c r="W355" s="28" t="s">
        <v>440</v>
      </c>
      <c r="X355" s="28" t="s">
        <v>261</v>
      </c>
      <c r="Y355" s="28" t="s">
        <v>773</v>
      </c>
      <c r="Z355" s="28" t="s">
        <v>1905</v>
      </c>
      <c r="AC355" s="28" t="s">
        <v>801</v>
      </c>
      <c r="AD355" s="28" t="s">
        <v>774</v>
      </c>
    </row>
    <row r="356" spans="3:30" x14ac:dyDescent="0.25">
      <c r="D356" s="28" t="s">
        <v>267</v>
      </c>
      <c r="E356" s="28" t="s">
        <v>213</v>
      </c>
      <c r="F356" s="28" t="s">
        <v>599</v>
      </c>
      <c r="G356" s="28" t="s">
        <v>212</v>
      </c>
      <c r="H356" s="28" t="s">
        <v>738</v>
      </c>
      <c r="J356" s="28" t="s">
        <v>736</v>
      </c>
      <c r="L356" s="28" t="s">
        <v>817</v>
      </c>
      <c r="M356" s="28" t="s">
        <v>212</v>
      </c>
      <c r="N356" s="28" t="s">
        <v>1174</v>
      </c>
      <c r="O356" s="28" t="s">
        <v>972</v>
      </c>
      <c r="Q356" s="28" t="s">
        <v>1424</v>
      </c>
      <c r="S356" s="28" t="s">
        <v>266</v>
      </c>
      <c r="T356" s="28" t="s">
        <v>265</v>
      </c>
      <c r="U356" s="28" t="s">
        <v>334</v>
      </c>
      <c r="X356" s="28" t="s">
        <v>254</v>
      </c>
      <c r="Y356" s="28" t="s">
        <v>1886</v>
      </c>
      <c r="AA356" s="28" t="s">
        <v>800</v>
      </c>
      <c r="AB356" s="28" t="s">
        <v>800</v>
      </c>
      <c r="AC356" s="28" t="s">
        <v>774</v>
      </c>
      <c r="AD356" s="28" t="s">
        <v>802</v>
      </c>
    </row>
    <row r="357" spans="3:30" x14ac:dyDescent="0.25">
      <c r="C357" s="28" t="s">
        <v>339</v>
      </c>
      <c r="D357" s="28" t="s">
        <v>269</v>
      </c>
      <c r="E357" s="28" t="s">
        <v>213</v>
      </c>
      <c r="I357" s="28" t="s">
        <v>795</v>
      </c>
      <c r="J357" s="28" t="s">
        <v>737</v>
      </c>
      <c r="K357" s="28" t="s">
        <v>726</v>
      </c>
      <c r="L357" s="28" t="s">
        <v>810</v>
      </c>
      <c r="O357" s="28" t="s">
        <v>801</v>
      </c>
      <c r="P357" s="28" t="s">
        <v>759</v>
      </c>
      <c r="Q357" s="28" t="s">
        <v>1425</v>
      </c>
      <c r="R357" s="28" t="s">
        <v>703</v>
      </c>
      <c r="S357" s="28" t="s">
        <v>267</v>
      </c>
      <c r="T357" s="28" t="s">
        <v>266</v>
      </c>
      <c r="W357" s="28" t="s">
        <v>419</v>
      </c>
      <c r="X357" s="28" t="s">
        <v>262</v>
      </c>
      <c r="Y357" s="28" t="s">
        <v>801</v>
      </c>
      <c r="Z357" s="28" t="s">
        <v>777</v>
      </c>
      <c r="AA357" s="28" t="s">
        <v>773</v>
      </c>
      <c r="AB357" s="28" t="s">
        <v>773</v>
      </c>
      <c r="AC357" s="28" t="s">
        <v>802</v>
      </c>
      <c r="AD357" s="28" t="s">
        <v>775</v>
      </c>
    </row>
    <row r="358" spans="3:30" x14ac:dyDescent="0.25">
      <c r="F358" s="28" t="s">
        <v>276</v>
      </c>
      <c r="G358" s="28" t="s">
        <v>419</v>
      </c>
      <c r="H358" s="28" t="s">
        <v>739</v>
      </c>
      <c r="I358" s="28" t="s">
        <v>796</v>
      </c>
      <c r="J358" s="28" t="s">
        <v>737</v>
      </c>
      <c r="K358" s="28" t="s">
        <v>727</v>
      </c>
      <c r="L358" s="28" t="s">
        <v>818</v>
      </c>
      <c r="M358" s="28" t="s">
        <v>1145</v>
      </c>
      <c r="N358" s="28" t="s">
        <v>1173</v>
      </c>
      <c r="O358" s="28" t="s">
        <v>774</v>
      </c>
      <c r="Q358" s="28" t="s">
        <v>1426</v>
      </c>
      <c r="R358" s="28" t="s">
        <v>368</v>
      </c>
      <c r="S358" s="28" t="s">
        <v>268</v>
      </c>
      <c r="T358" s="28" t="s">
        <v>267</v>
      </c>
      <c r="U358" s="28" t="s">
        <v>336</v>
      </c>
      <c r="W358" s="28" t="s">
        <v>212</v>
      </c>
      <c r="X358" s="28" t="s">
        <v>254</v>
      </c>
      <c r="Y358" s="28" t="s">
        <v>774</v>
      </c>
      <c r="AA358" s="28" t="s">
        <v>1886</v>
      </c>
      <c r="AB358" s="28" t="s">
        <v>1886</v>
      </c>
      <c r="AC358" s="28" t="s">
        <v>775</v>
      </c>
    </row>
    <row r="359" spans="3:30" x14ac:dyDescent="0.25">
      <c r="C359" s="28" t="s">
        <v>340</v>
      </c>
      <c r="D359" s="28" t="s">
        <v>271</v>
      </c>
      <c r="E359" s="28" t="s">
        <v>389</v>
      </c>
      <c r="G359" s="28" t="s">
        <v>243</v>
      </c>
      <c r="L359" s="28" t="s">
        <v>819</v>
      </c>
      <c r="O359" s="28" t="s">
        <v>802</v>
      </c>
      <c r="P359" s="28" t="s">
        <v>760</v>
      </c>
      <c r="Q359" s="28" t="s">
        <v>1427</v>
      </c>
      <c r="S359" s="28" t="s">
        <v>269</v>
      </c>
      <c r="T359" s="28" t="s">
        <v>268</v>
      </c>
      <c r="U359" s="28" t="s">
        <v>337</v>
      </c>
      <c r="X359" s="28" t="s">
        <v>255</v>
      </c>
      <c r="Y359" s="28" t="s">
        <v>802</v>
      </c>
      <c r="Z359" s="28" t="s">
        <v>800</v>
      </c>
      <c r="AA359" s="28" t="s">
        <v>801</v>
      </c>
      <c r="AB359" s="28" t="s">
        <v>801</v>
      </c>
      <c r="AD359" s="28" t="s">
        <v>778</v>
      </c>
    </row>
    <row r="360" spans="3:30" x14ac:dyDescent="0.25">
      <c r="F360" s="28" t="s">
        <v>277</v>
      </c>
      <c r="G360" s="28" t="s">
        <v>212</v>
      </c>
      <c r="H360" s="28" t="s">
        <v>740</v>
      </c>
      <c r="I360" s="28" t="s">
        <v>341</v>
      </c>
      <c r="J360" s="28" t="s">
        <v>738</v>
      </c>
      <c r="K360" s="28" t="s">
        <v>703</v>
      </c>
      <c r="L360" s="28" t="s">
        <v>811</v>
      </c>
      <c r="M360" s="28" t="s">
        <v>285</v>
      </c>
      <c r="N360" s="28" t="s">
        <v>244</v>
      </c>
      <c r="O360" s="28" t="s">
        <v>775</v>
      </c>
      <c r="R360" s="28" t="s">
        <v>752</v>
      </c>
      <c r="S360" s="28" t="s">
        <v>270</v>
      </c>
      <c r="T360" s="28" t="s">
        <v>269</v>
      </c>
      <c r="W360" s="28" t="s">
        <v>961</v>
      </c>
      <c r="X360" s="28" t="s">
        <v>263</v>
      </c>
      <c r="Y360" s="28" t="s">
        <v>775</v>
      </c>
      <c r="Z360" s="28" t="s">
        <v>773</v>
      </c>
      <c r="AA360" s="28" t="s">
        <v>774</v>
      </c>
      <c r="AB360" s="28" t="s">
        <v>774</v>
      </c>
      <c r="AC360" s="28" t="s">
        <v>778</v>
      </c>
    </row>
    <row r="361" spans="3:30" x14ac:dyDescent="0.25">
      <c r="C361" s="28" t="s">
        <v>341</v>
      </c>
      <c r="D361" s="28" t="s">
        <v>254</v>
      </c>
      <c r="E361" s="28" t="s">
        <v>390</v>
      </c>
      <c r="F361" s="28" t="s">
        <v>399</v>
      </c>
      <c r="H361" s="28" t="s">
        <v>741</v>
      </c>
      <c r="I361" s="28" t="s">
        <v>797</v>
      </c>
      <c r="J361" s="28" t="s">
        <v>738</v>
      </c>
      <c r="K361" s="28" t="s">
        <v>728</v>
      </c>
      <c r="L361" s="28" t="s">
        <v>820</v>
      </c>
      <c r="P361" s="28" t="s">
        <v>1362</v>
      </c>
      <c r="Q361" s="28" t="s">
        <v>861</v>
      </c>
      <c r="S361" s="28" t="s">
        <v>268</v>
      </c>
      <c r="T361" s="28" t="s">
        <v>270</v>
      </c>
      <c r="U361" s="28" t="s">
        <v>339</v>
      </c>
      <c r="X361" s="28" t="s">
        <v>261</v>
      </c>
      <c r="Z361" s="28" t="s">
        <v>1886</v>
      </c>
      <c r="AA361" s="28" t="s">
        <v>802</v>
      </c>
      <c r="AB361" s="28" t="s">
        <v>802</v>
      </c>
      <c r="AD361" s="28" t="s">
        <v>779</v>
      </c>
    </row>
    <row r="362" spans="3:30" x14ac:dyDescent="0.25">
      <c r="C362" s="28" t="s">
        <v>342</v>
      </c>
      <c r="E362" s="28" t="s">
        <v>485</v>
      </c>
      <c r="F362" s="28" t="s">
        <v>429</v>
      </c>
      <c r="G362" s="28" t="s">
        <v>426</v>
      </c>
      <c r="H362" s="28" t="s">
        <v>742</v>
      </c>
      <c r="I362" s="28" t="s">
        <v>798</v>
      </c>
      <c r="J362" s="28" t="s">
        <v>738</v>
      </c>
      <c r="K362" s="28" t="s">
        <v>729</v>
      </c>
      <c r="L362" s="28" t="s">
        <v>821</v>
      </c>
      <c r="M362" s="28" t="s">
        <v>722</v>
      </c>
      <c r="N362" s="28" t="s">
        <v>285</v>
      </c>
      <c r="O362" s="28" t="s">
        <v>778</v>
      </c>
      <c r="Q362" s="28" t="s">
        <v>498</v>
      </c>
      <c r="R362" s="28" t="s">
        <v>753</v>
      </c>
      <c r="S362" s="28" t="s">
        <v>267</v>
      </c>
      <c r="T362" s="28" t="s">
        <v>268</v>
      </c>
      <c r="U362" s="28" t="s">
        <v>340</v>
      </c>
      <c r="W362" s="28" t="s">
        <v>254</v>
      </c>
      <c r="X362" s="28" t="s">
        <v>245</v>
      </c>
      <c r="Y362" s="28" t="s">
        <v>778</v>
      </c>
      <c r="Z362" s="28" t="s">
        <v>801</v>
      </c>
      <c r="AA362" s="28" t="s">
        <v>775</v>
      </c>
      <c r="AB362" s="28" t="s">
        <v>775</v>
      </c>
      <c r="AC362" s="28" t="s">
        <v>779</v>
      </c>
    </row>
    <row r="363" spans="3:30" x14ac:dyDescent="0.25">
      <c r="C363" s="28" t="s">
        <v>343</v>
      </c>
      <c r="D363" s="28" t="s">
        <v>272</v>
      </c>
      <c r="F363" s="28" t="s">
        <v>583</v>
      </c>
      <c r="G363" s="28" t="s">
        <v>390</v>
      </c>
      <c r="H363" s="28" t="s">
        <v>743</v>
      </c>
      <c r="I363" s="28" t="s">
        <v>799</v>
      </c>
      <c r="J363" s="28" t="s">
        <v>738</v>
      </c>
      <c r="K363" s="28" t="s">
        <v>730</v>
      </c>
      <c r="P363" s="28" t="s">
        <v>1362</v>
      </c>
      <c r="Q363" s="28" t="s">
        <v>497</v>
      </c>
      <c r="S363" s="28" t="s">
        <v>269</v>
      </c>
      <c r="T363" s="28" t="s">
        <v>267</v>
      </c>
      <c r="X363" s="28" t="s">
        <v>264</v>
      </c>
      <c r="Z363" s="28" t="s">
        <v>774</v>
      </c>
      <c r="AD363" s="28" t="s">
        <v>1886</v>
      </c>
    </row>
    <row r="364" spans="3:30" x14ac:dyDescent="0.25">
      <c r="C364" s="28" t="s">
        <v>344</v>
      </c>
      <c r="D364" s="28" t="s">
        <v>273</v>
      </c>
      <c r="E364" s="28" t="s">
        <v>524</v>
      </c>
      <c r="H364" s="28" t="s">
        <v>744</v>
      </c>
      <c r="J364" s="28" t="s">
        <v>738</v>
      </c>
      <c r="K364" s="28" t="s">
        <v>225</v>
      </c>
      <c r="L364" s="28" t="s">
        <v>811</v>
      </c>
      <c r="M364" s="28" t="s">
        <v>285</v>
      </c>
      <c r="N364" s="28" t="s">
        <v>422</v>
      </c>
      <c r="O364" s="28" t="s">
        <v>777</v>
      </c>
      <c r="Q364" s="28" t="s">
        <v>497</v>
      </c>
      <c r="R364" s="28" t="s">
        <v>754</v>
      </c>
      <c r="T364" s="28" t="s">
        <v>269</v>
      </c>
      <c r="U364" s="28" t="s">
        <v>341</v>
      </c>
      <c r="W364" s="28" t="s">
        <v>212</v>
      </c>
      <c r="Y364" s="28" t="s">
        <v>779</v>
      </c>
      <c r="Z364" s="28" t="s">
        <v>802</v>
      </c>
      <c r="AA364" s="28" t="s">
        <v>778</v>
      </c>
      <c r="AB364" s="28" t="s">
        <v>778</v>
      </c>
      <c r="AC364" s="28" t="s">
        <v>1886</v>
      </c>
    </row>
    <row r="365" spans="3:30" x14ac:dyDescent="0.25">
      <c r="D365" s="28" t="s">
        <v>274</v>
      </c>
      <c r="F365" s="28" t="s">
        <v>280</v>
      </c>
      <c r="G365" s="28" t="s">
        <v>608</v>
      </c>
      <c r="I365" s="28" t="s">
        <v>82</v>
      </c>
      <c r="K365" s="28" t="s">
        <v>731</v>
      </c>
      <c r="L365" s="28" t="s">
        <v>822</v>
      </c>
      <c r="N365" s="28" t="s">
        <v>422</v>
      </c>
      <c r="P365" s="28" t="s">
        <v>676</v>
      </c>
      <c r="Q365" s="28" t="s">
        <v>497</v>
      </c>
      <c r="R365" s="28" t="s">
        <v>755</v>
      </c>
      <c r="S365" s="28" t="s">
        <v>271</v>
      </c>
      <c r="U365" s="28" t="s">
        <v>797</v>
      </c>
      <c r="X365" s="28" t="s">
        <v>255</v>
      </c>
      <c r="Z365" s="28" t="s">
        <v>775</v>
      </c>
      <c r="AD365" s="28" t="s">
        <v>1886</v>
      </c>
    </row>
    <row r="366" spans="3:30" x14ac:dyDescent="0.25">
      <c r="C366" s="28" t="s">
        <v>345</v>
      </c>
      <c r="D366" s="28" t="s">
        <v>266</v>
      </c>
      <c r="E366" s="28" t="s">
        <v>525</v>
      </c>
      <c r="F366" s="28" t="s">
        <v>430</v>
      </c>
      <c r="H366" s="28" t="s">
        <v>378</v>
      </c>
      <c r="I366" s="28" t="s">
        <v>73</v>
      </c>
      <c r="J366" s="28" t="s">
        <v>692</v>
      </c>
      <c r="K366" s="28" t="s">
        <v>732</v>
      </c>
      <c r="L366" s="28" t="s">
        <v>811</v>
      </c>
      <c r="M366" s="28" t="s">
        <v>1005</v>
      </c>
      <c r="O366" s="28" t="s">
        <v>779</v>
      </c>
      <c r="P366" s="28" t="s">
        <v>1006</v>
      </c>
      <c r="Q366" s="28" t="s">
        <v>497</v>
      </c>
      <c r="T366" s="28" t="s">
        <v>271</v>
      </c>
      <c r="U366" s="28" t="s">
        <v>798</v>
      </c>
      <c r="W366" s="28" t="s">
        <v>419</v>
      </c>
      <c r="Y366" s="28" t="s">
        <v>1886</v>
      </c>
      <c r="AA366" s="28" t="s">
        <v>779</v>
      </c>
      <c r="AB366" s="28" t="s">
        <v>779</v>
      </c>
      <c r="AC366" s="28" t="s">
        <v>1886</v>
      </c>
    </row>
    <row r="367" spans="3:30" x14ac:dyDescent="0.25">
      <c r="D367" s="28" t="s">
        <v>275</v>
      </c>
      <c r="F367" s="28" t="s">
        <v>280</v>
      </c>
      <c r="G367" s="28" t="s">
        <v>617</v>
      </c>
      <c r="H367" s="28" t="s">
        <v>745</v>
      </c>
      <c r="I367" s="28" t="s">
        <v>43</v>
      </c>
      <c r="J367" s="28" t="s">
        <v>696</v>
      </c>
      <c r="K367" s="28" t="s">
        <v>731</v>
      </c>
      <c r="L367" s="28" t="s">
        <v>823</v>
      </c>
      <c r="M367" s="28" t="s">
        <v>982</v>
      </c>
      <c r="N367" s="28" t="s">
        <v>1205</v>
      </c>
      <c r="R367" s="28" t="s">
        <v>756</v>
      </c>
      <c r="S367" s="28" t="s">
        <v>254</v>
      </c>
      <c r="U367" s="28" t="s">
        <v>799</v>
      </c>
      <c r="X367" s="28" t="s">
        <v>250</v>
      </c>
      <c r="Z367" s="28" t="s">
        <v>778</v>
      </c>
      <c r="AD367" s="28" t="s">
        <v>1866</v>
      </c>
    </row>
    <row r="368" spans="3:30" x14ac:dyDescent="0.25">
      <c r="C368" s="28" t="s">
        <v>346</v>
      </c>
      <c r="E368" s="28" t="s">
        <v>526</v>
      </c>
      <c r="F368" s="28" t="s">
        <v>600</v>
      </c>
      <c r="H368" s="28" t="s">
        <v>746</v>
      </c>
      <c r="K368" s="28" t="s">
        <v>732</v>
      </c>
      <c r="L368" s="28" t="s">
        <v>254</v>
      </c>
      <c r="O368" s="28" t="s">
        <v>972</v>
      </c>
      <c r="P368" s="28" t="s">
        <v>1331</v>
      </c>
      <c r="Q368" s="28" t="s">
        <v>1338</v>
      </c>
      <c r="R368" s="28" t="s">
        <v>757</v>
      </c>
      <c r="T368" s="28" t="s">
        <v>254</v>
      </c>
      <c r="W368" s="28" t="s">
        <v>435</v>
      </c>
      <c r="X368" s="28" t="s">
        <v>261</v>
      </c>
      <c r="Y368" s="28" t="s">
        <v>1886</v>
      </c>
      <c r="AA368" s="28" t="s">
        <v>1886</v>
      </c>
      <c r="AB368" s="28" t="s">
        <v>1886</v>
      </c>
      <c r="AC368" s="28" t="s">
        <v>1866</v>
      </c>
    </row>
    <row r="369" spans="3:30" x14ac:dyDescent="0.25">
      <c r="D369" s="28" t="s">
        <v>424</v>
      </c>
      <c r="E369" s="28" t="s">
        <v>527</v>
      </c>
      <c r="G369" s="28" t="s">
        <v>608</v>
      </c>
      <c r="H369" s="28" t="s">
        <v>378</v>
      </c>
      <c r="I369" s="28" t="s">
        <v>972</v>
      </c>
      <c r="J369" s="28" t="s">
        <v>694</v>
      </c>
      <c r="K369" s="28" t="s">
        <v>732</v>
      </c>
      <c r="L369" s="28" t="s">
        <v>824</v>
      </c>
      <c r="M369" s="28" t="s">
        <v>1144</v>
      </c>
      <c r="N369" s="28" t="s">
        <v>255</v>
      </c>
      <c r="Q369" s="28" t="s">
        <v>501</v>
      </c>
      <c r="S369" s="28" t="s">
        <v>272</v>
      </c>
      <c r="U369" s="28" t="s">
        <v>1649</v>
      </c>
      <c r="X369" s="28" t="s">
        <v>245</v>
      </c>
      <c r="Z369" s="28" t="s">
        <v>779</v>
      </c>
      <c r="AD369" s="28" t="s">
        <v>804</v>
      </c>
    </row>
    <row r="370" spans="3:30" x14ac:dyDescent="0.25">
      <c r="C370" s="28" t="s">
        <v>327</v>
      </c>
      <c r="D370" s="28" t="s">
        <v>422</v>
      </c>
      <c r="E370" s="28" t="s">
        <v>528</v>
      </c>
      <c r="F370" s="28" t="s">
        <v>283</v>
      </c>
      <c r="H370" s="28" t="s">
        <v>747</v>
      </c>
      <c r="I370" s="28" t="s">
        <v>780</v>
      </c>
      <c r="J370" s="28" t="s">
        <v>697</v>
      </c>
      <c r="K370" s="28" t="s">
        <v>732</v>
      </c>
      <c r="L370" s="28" t="s">
        <v>825</v>
      </c>
      <c r="O370" s="28" t="s">
        <v>972</v>
      </c>
      <c r="P370" s="28" t="s">
        <v>1363</v>
      </c>
      <c r="Q370" s="28" t="s">
        <v>1223</v>
      </c>
      <c r="R370" s="28" t="s">
        <v>1481</v>
      </c>
      <c r="S370" s="28" t="s">
        <v>273</v>
      </c>
      <c r="T370" s="28" t="s">
        <v>272</v>
      </c>
      <c r="U370" s="28" t="s">
        <v>334</v>
      </c>
      <c r="W370" s="28" t="s">
        <v>435</v>
      </c>
      <c r="X370" s="28" t="s">
        <v>263</v>
      </c>
      <c r="Y370" s="28" t="s">
        <v>1887</v>
      </c>
      <c r="AA370" s="28" t="s">
        <v>1886</v>
      </c>
      <c r="AB370" s="28" t="s">
        <v>1886</v>
      </c>
      <c r="AC370" s="28" t="s">
        <v>804</v>
      </c>
    </row>
    <row r="371" spans="3:30" x14ac:dyDescent="0.25">
      <c r="C371" s="28" t="s">
        <v>347</v>
      </c>
      <c r="D371" s="28" t="s">
        <v>244</v>
      </c>
      <c r="E371" s="28" t="s">
        <v>529</v>
      </c>
      <c r="G371" s="28" t="s">
        <v>445</v>
      </c>
      <c r="I371" s="28" t="s">
        <v>786</v>
      </c>
      <c r="K371" s="28" t="s">
        <v>1082</v>
      </c>
      <c r="L371" s="28" t="s">
        <v>823</v>
      </c>
      <c r="M371" s="28" t="s">
        <v>864</v>
      </c>
      <c r="N371" s="28" t="s">
        <v>243</v>
      </c>
      <c r="Q371" s="28" t="s">
        <v>1223</v>
      </c>
      <c r="S371" s="28" t="s">
        <v>274</v>
      </c>
      <c r="T371" s="28" t="s">
        <v>273</v>
      </c>
      <c r="U371" s="28" t="s">
        <v>1643</v>
      </c>
      <c r="X371" s="28" t="s">
        <v>254</v>
      </c>
      <c r="Y371" s="28" t="s">
        <v>1888</v>
      </c>
      <c r="Z371" s="28" t="s">
        <v>1886</v>
      </c>
      <c r="AD371" s="28" t="s">
        <v>805</v>
      </c>
    </row>
    <row r="372" spans="3:30" x14ac:dyDescent="0.25">
      <c r="C372" s="28" t="s">
        <v>334</v>
      </c>
      <c r="F372" s="28" t="s">
        <v>283</v>
      </c>
      <c r="H372" s="28" t="s">
        <v>748</v>
      </c>
      <c r="I372" s="28" t="s">
        <v>800</v>
      </c>
      <c r="J372" s="28" t="s">
        <v>692</v>
      </c>
      <c r="L372" s="28" t="s">
        <v>809</v>
      </c>
      <c r="N372" s="28" t="s">
        <v>160</v>
      </c>
      <c r="O372" s="28" t="s">
        <v>1293</v>
      </c>
      <c r="P372" s="28" t="s">
        <v>212</v>
      </c>
      <c r="Q372" s="28" t="s">
        <v>1223</v>
      </c>
      <c r="R372" s="28" t="s">
        <v>1497</v>
      </c>
      <c r="S372" s="28" t="s">
        <v>266</v>
      </c>
      <c r="T372" s="28" t="s">
        <v>274</v>
      </c>
      <c r="U372" s="28" t="s">
        <v>337</v>
      </c>
      <c r="W372" s="28" t="s">
        <v>160</v>
      </c>
      <c r="X372" s="28" t="s">
        <v>253</v>
      </c>
      <c r="AA372" s="28" t="s">
        <v>1945</v>
      </c>
      <c r="AB372" s="28" t="s">
        <v>1954</v>
      </c>
      <c r="AC372" s="28" t="s">
        <v>805</v>
      </c>
    </row>
    <row r="373" spans="3:30" x14ac:dyDescent="0.25">
      <c r="C373" s="28" t="s">
        <v>337</v>
      </c>
      <c r="D373" s="28" t="s">
        <v>424</v>
      </c>
      <c r="E373" s="28" t="s">
        <v>530</v>
      </c>
      <c r="G373" s="28" t="s">
        <v>390</v>
      </c>
      <c r="H373" s="28" t="s">
        <v>749</v>
      </c>
      <c r="I373" s="28" t="s">
        <v>773</v>
      </c>
      <c r="J373" s="28" t="s">
        <v>698</v>
      </c>
      <c r="K373" s="28" t="s">
        <v>734</v>
      </c>
      <c r="L373" s="28" t="s">
        <v>826</v>
      </c>
      <c r="M373" s="28" t="s">
        <v>243</v>
      </c>
      <c r="N373" s="28" t="s">
        <v>422</v>
      </c>
      <c r="Q373" s="28" t="s">
        <v>1223</v>
      </c>
      <c r="S373" s="28" t="s">
        <v>275</v>
      </c>
      <c r="T373" s="28" t="s">
        <v>266</v>
      </c>
      <c r="U373" s="28" t="s">
        <v>1643</v>
      </c>
      <c r="Y373" s="28" t="s">
        <v>1866</v>
      </c>
      <c r="Z373" s="28" t="s">
        <v>1886</v>
      </c>
      <c r="AA373" s="28" t="s">
        <v>1946</v>
      </c>
      <c r="AB373" s="28" t="s">
        <v>1955</v>
      </c>
      <c r="AD373" s="28" t="s">
        <v>363</v>
      </c>
    </row>
    <row r="374" spans="3:30" x14ac:dyDescent="0.25">
      <c r="C374" s="28" t="s">
        <v>348</v>
      </c>
      <c r="D374" s="28" t="s">
        <v>212</v>
      </c>
      <c r="F374" s="28" t="s">
        <v>212</v>
      </c>
      <c r="I374" s="28" t="s">
        <v>972</v>
      </c>
      <c r="J374" s="28" t="s">
        <v>699</v>
      </c>
      <c r="K374" s="28" t="s">
        <v>1083</v>
      </c>
      <c r="O374" s="28" t="s">
        <v>803</v>
      </c>
      <c r="P374" s="28" t="s">
        <v>1343</v>
      </c>
      <c r="R374" s="28" t="s">
        <v>160</v>
      </c>
      <c r="T374" s="28" t="s">
        <v>275</v>
      </c>
      <c r="U374" s="28" t="s">
        <v>340</v>
      </c>
      <c r="W374" s="28" t="s">
        <v>420</v>
      </c>
      <c r="X374" s="28" t="s">
        <v>254</v>
      </c>
      <c r="AC374" s="28" t="s">
        <v>363</v>
      </c>
    </row>
    <row r="375" spans="3:30" x14ac:dyDescent="0.25">
      <c r="C375" s="28" t="s">
        <v>349</v>
      </c>
      <c r="D375" s="28" t="s">
        <v>244</v>
      </c>
      <c r="E375" s="28" t="s">
        <v>531</v>
      </c>
      <c r="G375" s="28" t="s">
        <v>245</v>
      </c>
      <c r="H375" s="28" t="s">
        <v>750</v>
      </c>
      <c r="I375" s="28" t="s">
        <v>801</v>
      </c>
      <c r="J375" s="28" t="s">
        <v>700</v>
      </c>
      <c r="K375" s="28" t="s">
        <v>736</v>
      </c>
      <c r="L375" s="28" t="s">
        <v>827</v>
      </c>
      <c r="M375" s="28" t="s">
        <v>420</v>
      </c>
      <c r="N375" s="28" t="s">
        <v>212</v>
      </c>
      <c r="O375" s="28" t="s">
        <v>346</v>
      </c>
      <c r="Q375" s="28" t="s">
        <v>1418</v>
      </c>
      <c r="S375" s="28" t="s">
        <v>276</v>
      </c>
      <c r="U375" s="28" t="s">
        <v>1643</v>
      </c>
      <c r="X375" s="28" t="s">
        <v>255</v>
      </c>
      <c r="Y375" s="28" t="s">
        <v>804</v>
      </c>
      <c r="Z375" s="28" t="s">
        <v>1907</v>
      </c>
      <c r="AA375" s="28" t="s">
        <v>1866</v>
      </c>
      <c r="AB375" s="28" t="s">
        <v>1866</v>
      </c>
      <c r="AD375" s="28" t="s">
        <v>160</v>
      </c>
    </row>
    <row r="376" spans="3:30" x14ac:dyDescent="0.25">
      <c r="C376" s="28" t="s">
        <v>340</v>
      </c>
      <c r="E376" s="28" t="s">
        <v>532</v>
      </c>
      <c r="F376" s="28" t="s">
        <v>160</v>
      </c>
      <c r="G376" s="28" t="s">
        <v>246</v>
      </c>
      <c r="I376" s="28" t="s">
        <v>774</v>
      </c>
      <c r="K376" s="28" t="s">
        <v>737</v>
      </c>
      <c r="L376" s="28" t="s">
        <v>823</v>
      </c>
      <c r="P376" s="28" t="s">
        <v>419</v>
      </c>
      <c r="Q376" s="28" t="s">
        <v>1419</v>
      </c>
      <c r="R376" s="28" t="s">
        <v>759</v>
      </c>
      <c r="T376" s="28" t="s">
        <v>276</v>
      </c>
      <c r="W376" s="28" t="s">
        <v>422</v>
      </c>
      <c r="X376" s="28" t="s">
        <v>248</v>
      </c>
      <c r="Z376" s="28" t="s">
        <v>1908</v>
      </c>
      <c r="AC376" s="28" t="s">
        <v>160</v>
      </c>
    </row>
    <row r="377" spans="3:30" x14ac:dyDescent="0.25">
      <c r="D377" s="28" t="s">
        <v>420</v>
      </c>
      <c r="G377" s="28" t="s">
        <v>247</v>
      </c>
      <c r="H377" s="28" t="s">
        <v>751</v>
      </c>
      <c r="I377" s="28" t="s">
        <v>802</v>
      </c>
      <c r="J377" s="28" t="s">
        <v>701</v>
      </c>
      <c r="K377" s="28" t="s">
        <v>736</v>
      </c>
      <c r="L377" s="28" t="s">
        <v>809</v>
      </c>
      <c r="M377" s="28" t="s">
        <v>285</v>
      </c>
      <c r="N377" s="28" t="s">
        <v>255</v>
      </c>
      <c r="O377" s="28" t="s">
        <v>77</v>
      </c>
      <c r="P377" s="28" t="s">
        <v>160</v>
      </c>
      <c r="Q377" s="28" t="s">
        <v>1419</v>
      </c>
      <c r="S377" s="28" t="s">
        <v>277</v>
      </c>
      <c r="U377" s="28" t="s">
        <v>1650</v>
      </c>
      <c r="W377" s="28" t="s">
        <v>160</v>
      </c>
      <c r="X377" s="28" t="s">
        <v>246</v>
      </c>
      <c r="Y377" s="28" t="s">
        <v>805</v>
      </c>
      <c r="AA377" s="28" t="s">
        <v>804</v>
      </c>
      <c r="AB377" s="28" t="s">
        <v>804</v>
      </c>
      <c r="AD377" s="28" t="s">
        <v>212</v>
      </c>
    </row>
    <row r="378" spans="3:30" x14ac:dyDescent="0.25">
      <c r="C378" s="28" t="s">
        <v>350</v>
      </c>
      <c r="E378" s="28" t="s">
        <v>533</v>
      </c>
      <c r="F378" s="28" t="s">
        <v>245</v>
      </c>
      <c r="G378" s="28" t="s">
        <v>248</v>
      </c>
      <c r="I378" s="28" t="s">
        <v>775</v>
      </c>
      <c r="K378" s="28" t="s">
        <v>737</v>
      </c>
      <c r="L378" s="28" t="s">
        <v>828</v>
      </c>
      <c r="P378" s="28" t="s">
        <v>160</v>
      </c>
      <c r="Q378" s="28" t="s">
        <v>1419</v>
      </c>
      <c r="R378" s="28" t="s">
        <v>760</v>
      </c>
      <c r="S378" s="28" t="s">
        <v>1526</v>
      </c>
      <c r="T378" s="28" t="s">
        <v>277</v>
      </c>
      <c r="U378" s="28" t="s">
        <v>1651</v>
      </c>
      <c r="X378" s="28" t="s">
        <v>256</v>
      </c>
      <c r="Z378" s="28" t="s">
        <v>1866</v>
      </c>
      <c r="AC378" s="28" t="s">
        <v>212</v>
      </c>
    </row>
    <row r="379" spans="3:30" x14ac:dyDescent="0.25">
      <c r="C379" s="28" t="s">
        <v>351</v>
      </c>
      <c r="D379" s="28" t="s">
        <v>428</v>
      </c>
      <c r="E379" s="28" t="s">
        <v>534</v>
      </c>
      <c r="F379" s="28" t="s">
        <v>246</v>
      </c>
      <c r="G379" s="28" t="s">
        <v>245</v>
      </c>
      <c r="H379" s="28" t="s">
        <v>703</v>
      </c>
      <c r="J379" s="28" t="s">
        <v>702</v>
      </c>
      <c r="K379" s="28" t="s">
        <v>737</v>
      </c>
      <c r="L379" s="28" t="s">
        <v>254</v>
      </c>
      <c r="M379" s="28" t="s">
        <v>1146</v>
      </c>
      <c r="N379" s="28" t="s">
        <v>243</v>
      </c>
      <c r="O379" s="28" t="s">
        <v>804</v>
      </c>
      <c r="Q379" s="28" t="s">
        <v>1419</v>
      </c>
      <c r="T379" s="28" t="s">
        <v>1526</v>
      </c>
      <c r="U379" s="28" t="s">
        <v>1652</v>
      </c>
      <c r="W379" s="28" t="s">
        <v>160</v>
      </c>
      <c r="Y379" s="28" t="s">
        <v>363</v>
      </c>
      <c r="AA379" s="28" t="s">
        <v>805</v>
      </c>
      <c r="AB379" s="28" t="s">
        <v>805</v>
      </c>
      <c r="AD379" s="28" t="s">
        <v>1974</v>
      </c>
    </row>
    <row r="380" spans="3:30" x14ac:dyDescent="0.25">
      <c r="C380" s="28" t="s">
        <v>352</v>
      </c>
      <c r="F380" s="28" t="s">
        <v>247</v>
      </c>
      <c r="G380" s="28" t="s">
        <v>249</v>
      </c>
      <c r="H380" s="28" t="s">
        <v>368</v>
      </c>
      <c r="I380" s="28" t="s">
        <v>778</v>
      </c>
      <c r="K380" s="28" t="s">
        <v>737</v>
      </c>
      <c r="L380" s="28" t="s">
        <v>253</v>
      </c>
      <c r="N380" s="28" t="s">
        <v>160</v>
      </c>
      <c r="P380" s="28" t="s">
        <v>419</v>
      </c>
      <c r="R380" s="28" t="s">
        <v>1498</v>
      </c>
      <c r="S380" s="28" t="s">
        <v>280</v>
      </c>
      <c r="X380" s="28" t="s">
        <v>265</v>
      </c>
      <c r="Z380" s="28" t="s">
        <v>804</v>
      </c>
      <c r="AC380" s="28" t="s">
        <v>1975</v>
      </c>
      <c r="AD380" s="28" t="s">
        <v>1976</v>
      </c>
    </row>
    <row r="381" spans="3:30" x14ac:dyDescent="0.25">
      <c r="C381" s="28" t="s">
        <v>353</v>
      </c>
      <c r="D381" s="28" t="s">
        <v>276</v>
      </c>
      <c r="E381" s="28" t="s">
        <v>535</v>
      </c>
      <c r="F381" s="28" t="s">
        <v>248</v>
      </c>
      <c r="G381" s="28" t="s">
        <v>247</v>
      </c>
      <c r="J381" s="28" t="s">
        <v>1016</v>
      </c>
      <c r="L381" s="28" t="s">
        <v>817</v>
      </c>
      <c r="M381" s="28" t="s">
        <v>419</v>
      </c>
      <c r="N381" s="28" t="s">
        <v>422</v>
      </c>
      <c r="O381" s="28" t="s">
        <v>805</v>
      </c>
      <c r="P381" s="28" t="s">
        <v>160</v>
      </c>
      <c r="Q381" s="28" t="s">
        <v>1339</v>
      </c>
      <c r="S381" s="28" t="s">
        <v>1561</v>
      </c>
      <c r="T381" s="28" t="s">
        <v>280</v>
      </c>
      <c r="U381" s="28" t="s">
        <v>1653</v>
      </c>
      <c r="W381" s="28" t="s">
        <v>545</v>
      </c>
      <c r="X381" s="28" t="s">
        <v>266</v>
      </c>
      <c r="Y381" s="28" t="s">
        <v>160</v>
      </c>
      <c r="AA381" s="28" t="s">
        <v>363</v>
      </c>
      <c r="AB381" s="28" t="s">
        <v>363</v>
      </c>
      <c r="AC381" s="28" t="s">
        <v>1977</v>
      </c>
    </row>
    <row r="382" spans="3:30" x14ac:dyDescent="0.25">
      <c r="F382" s="28" t="s">
        <v>245</v>
      </c>
      <c r="G382" s="28" t="s">
        <v>250</v>
      </c>
      <c r="H382" s="28" t="s">
        <v>752</v>
      </c>
      <c r="I382" s="28" t="s">
        <v>777</v>
      </c>
      <c r="K382" s="28" t="s">
        <v>738</v>
      </c>
      <c r="L382" s="28" t="s">
        <v>810</v>
      </c>
      <c r="M382" s="28" t="s">
        <v>212</v>
      </c>
      <c r="P382" s="28" t="s">
        <v>160</v>
      </c>
      <c r="Q382" s="28" t="s">
        <v>1340</v>
      </c>
      <c r="R382" s="28" t="s">
        <v>1498</v>
      </c>
      <c r="T382" s="28" t="s">
        <v>1561</v>
      </c>
      <c r="X382" s="28" t="s">
        <v>267</v>
      </c>
      <c r="Z382" s="28" t="s">
        <v>805</v>
      </c>
      <c r="AD382" s="28" t="s">
        <v>808</v>
      </c>
    </row>
    <row r="383" spans="3:30" x14ac:dyDescent="0.25">
      <c r="C383" s="28" t="s">
        <v>354</v>
      </c>
      <c r="D383" s="28" t="s">
        <v>277</v>
      </c>
      <c r="E383" s="28" t="s">
        <v>536</v>
      </c>
      <c r="F383" s="28" t="s">
        <v>249</v>
      </c>
      <c r="G383" s="28" t="s">
        <v>251</v>
      </c>
      <c r="J383" s="28" t="s">
        <v>740</v>
      </c>
      <c r="K383" s="28" t="s">
        <v>738</v>
      </c>
      <c r="L383" s="28" t="s">
        <v>818</v>
      </c>
      <c r="N383" s="28" t="s">
        <v>545</v>
      </c>
      <c r="O383" s="28" t="s">
        <v>363</v>
      </c>
      <c r="Q383" s="28" t="s">
        <v>1428</v>
      </c>
      <c r="S383" s="28" t="s">
        <v>283</v>
      </c>
      <c r="U383" s="28" t="s">
        <v>1654</v>
      </c>
      <c r="W383" s="28" t="s">
        <v>1678</v>
      </c>
      <c r="X383" s="28" t="s">
        <v>268</v>
      </c>
      <c r="Y383" s="28" t="s">
        <v>212</v>
      </c>
      <c r="AA383" s="28" t="s">
        <v>160</v>
      </c>
      <c r="AB383" s="28" t="s">
        <v>160</v>
      </c>
      <c r="AC383" s="28" t="s">
        <v>808</v>
      </c>
    </row>
    <row r="384" spans="3:30" x14ac:dyDescent="0.25">
      <c r="C384" s="28" t="s">
        <v>355</v>
      </c>
      <c r="D384" s="28" t="s">
        <v>399</v>
      </c>
      <c r="F384" s="28" t="s">
        <v>247</v>
      </c>
      <c r="G384" s="28" t="s">
        <v>245</v>
      </c>
      <c r="H384" s="28" t="s">
        <v>753</v>
      </c>
      <c r="I384" s="28" t="s">
        <v>779</v>
      </c>
      <c r="J384" s="28" t="s">
        <v>741</v>
      </c>
      <c r="K384" s="28" t="s">
        <v>738</v>
      </c>
      <c r="M384" s="28" t="s">
        <v>424</v>
      </c>
      <c r="N384" s="28" t="s">
        <v>244</v>
      </c>
      <c r="P384" s="28" t="s">
        <v>1343</v>
      </c>
      <c r="Q384" s="28" t="s">
        <v>1318</v>
      </c>
      <c r="R384" s="28" t="s">
        <v>762</v>
      </c>
      <c r="T384" s="28" t="s">
        <v>283</v>
      </c>
      <c r="X384" s="28" t="s">
        <v>269</v>
      </c>
      <c r="Z384" s="28" t="s">
        <v>363</v>
      </c>
      <c r="AD384" s="28" t="s">
        <v>1978</v>
      </c>
    </row>
    <row r="385" spans="3:30" x14ac:dyDescent="0.25">
      <c r="C385" s="28" t="s">
        <v>355</v>
      </c>
      <c r="D385" s="28" t="s">
        <v>429</v>
      </c>
      <c r="E385" s="28" t="s">
        <v>537</v>
      </c>
      <c r="F385" s="28" t="s">
        <v>250</v>
      </c>
      <c r="G385" s="28" t="s">
        <v>252</v>
      </c>
      <c r="J385" s="28" t="s">
        <v>742</v>
      </c>
      <c r="K385" s="28" t="s">
        <v>738</v>
      </c>
      <c r="L385" s="28" t="s">
        <v>265</v>
      </c>
      <c r="N385" s="28" t="s">
        <v>285</v>
      </c>
      <c r="O385" s="28" t="s">
        <v>160</v>
      </c>
      <c r="Q385" s="28" t="s">
        <v>1318</v>
      </c>
      <c r="R385" s="28" t="s">
        <v>1365</v>
      </c>
      <c r="S385" s="28" t="s">
        <v>160</v>
      </c>
      <c r="U385" s="28" t="s">
        <v>803</v>
      </c>
      <c r="W385" s="28" t="s">
        <v>420</v>
      </c>
      <c r="X385" s="28" t="s">
        <v>270</v>
      </c>
      <c r="Y385" s="28" t="s">
        <v>808</v>
      </c>
      <c r="AA385" s="28" t="s">
        <v>212</v>
      </c>
      <c r="AB385" s="28" t="s">
        <v>212</v>
      </c>
      <c r="AC385" s="28" t="s">
        <v>1978</v>
      </c>
      <c r="AD385" s="28" t="s">
        <v>1979</v>
      </c>
    </row>
    <row r="386" spans="3:30" x14ac:dyDescent="0.25">
      <c r="C386" s="28" t="s">
        <v>355</v>
      </c>
      <c r="D386" s="28" t="s">
        <v>377</v>
      </c>
      <c r="F386" s="28" t="s">
        <v>251</v>
      </c>
      <c r="H386" s="28" t="s">
        <v>754</v>
      </c>
      <c r="I386" s="28" t="s">
        <v>972</v>
      </c>
      <c r="J386" s="28" t="s">
        <v>743</v>
      </c>
      <c r="K386" s="28" t="s">
        <v>738</v>
      </c>
      <c r="L386" s="28" t="s">
        <v>266</v>
      </c>
      <c r="M386" s="28" t="s">
        <v>1135</v>
      </c>
      <c r="P386" s="28" t="s">
        <v>442</v>
      </c>
      <c r="Q386" s="28" t="s">
        <v>1429</v>
      </c>
      <c r="T386" s="28" t="s">
        <v>160</v>
      </c>
      <c r="U386" s="28" t="s">
        <v>346</v>
      </c>
      <c r="X386" s="28" t="s">
        <v>268</v>
      </c>
      <c r="Z386" s="28" t="s">
        <v>160</v>
      </c>
      <c r="AC386" s="28" t="s">
        <v>1980</v>
      </c>
      <c r="AD386" s="28" t="s">
        <v>1980</v>
      </c>
    </row>
    <row r="387" spans="3:30" x14ac:dyDescent="0.25">
      <c r="E387" s="28" t="s">
        <v>535</v>
      </c>
      <c r="F387" s="28" t="s">
        <v>245</v>
      </c>
      <c r="G387" s="28" t="s">
        <v>253</v>
      </c>
      <c r="H387" s="28" t="s">
        <v>755</v>
      </c>
      <c r="J387" s="28" t="s">
        <v>744</v>
      </c>
      <c r="K387" s="28" t="s">
        <v>738</v>
      </c>
      <c r="L387" s="28" t="s">
        <v>267</v>
      </c>
      <c r="N387" s="28" t="s">
        <v>1170</v>
      </c>
      <c r="O387" s="28" t="s">
        <v>424</v>
      </c>
      <c r="P387" s="28" t="s">
        <v>212</v>
      </c>
      <c r="Q387" s="28" t="s">
        <v>1429</v>
      </c>
      <c r="R387" s="28" t="s">
        <v>1481</v>
      </c>
      <c r="S387" s="28" t="s">
        <v>365</v>
      </c>
      <c r="W387" s="28" t="s">
        <v>442</v>
      </c>
      <c r="X387" s="28" t="s">
        <v>267</v>
      </c>
      <c r="Y387" s="28" t="s">
        <v>1889</v>
      </c>
      <c r="AA387" s="28" t="s">
        <v>808</v>
      </c>
      <c r="AB387" s="28" t="s">
        <v>808</v>
      </c>
      <c r="AD387" s="28" t="s">
        <v>1980</v>
      </c>
    </row>
    <row r="388" spans="3:30" x14ac:dyDescent="0.25">
      <c r="C388" s="28" t="s">
        <v>356</v>
      </c>
      <c r="D388" s="28" t="s">
        <v>280</v>
      </c>
      <c r="E388" s="28" t="s">
        <v>538</v>
      </c>
      <c r="F388" s="28" t="s">
        <v>252</v>
      </c>
      <c r="I388" s="28" t="s">
        <v>972</v>
      </c>
      <c r="K388" s="28" t="s">
        <v>738</v>
      </c>
      <c r="L388" s="28" t="s">
        <v>268</v>
      </c>
      <c r="M388" s="28" t="s">
        <v>243</v>
      </c>
      <c r="T388" s="28" t="s">
        <v>365</v>
      </c>
      <c r="U388" s="28" t="s">
        <v>1655</v>
      </c>
      <c r="X388" s="28" t="s">
        <v>269</v>
      </c>
      <c r="Y388" s="28" t="s">
        <v>419</v>
      </c>
      <c r="Z388" s="28" t="s">
        <v>212</v>
      </c>
      <c r="AC388" s="28" t="s">
        <v>1981</v>
      </c>
    </row>
    <row r="389" spans="3:30" x14ac:dyDescent="0.25">
      <c r="D389" s="28" t="s">
        <v>430</v>
      </c>
      <c r="E389" s="28" t="s">
        <v>539</v>
      </c>
      <c r="G389" s="28" t="s">
        <v>254</v>
      </c>
      <c r="H389" s="28" t="s">
        <v>756</v>
      </c>
      <c r="J389" s="28" t="s">
        <v>378</v>
      </c>
      <c r="M389" s="28" t="s">
        <v>545</v>
      </c>
      <c r="N389" s="28" t="s">
        <v>243</v>
      </c>
      <c r="O389" s="28" t="s">
        <v>1296</v>
      </c>
      <c r="P389" s="28" t="s">
        <v>420</v>
      </c>
      <c r="Q389" s="28" t="s">
        <v>502</v>
      </c>
      <c r="R389" s="28" t="s">
        <v>275</v>
      </c>
      <c r="W389" s="28" t="s">
        <v>1705</v>
      </c>
      <c r="Y389" s="28" t="s">
        <v>160</v>
      </c>
      <c r="AA389" s="28" t="s">
        <v>878</v>
      </c>
      <c r="AB389" s="28" t="s">
        <v>878</v>
      </c>
      <c r="AD389" s="28" t="s">
        <v>1981</v>
      </c>
    </row>
    <row r="390" spans="3:30" x14ac:dyDescent="0.25">
      <c r="C390" s="28" t="s">
        <v>355</v>
      </c>
      <c r="D390" s="28" t="s">
        <v>280</v>
      </c>
      <c r="F390" s="28" t="s">
        <v>253</v>
      </c>
      <c r="G390" s="28" t="s">
        <v>255</v>
      </c>
      <c r="H390" s="28" t="s">
        <v>757</v>
      </c>
      <c r="I390" s="28" t="s">
        <v>953</v>
      </c>
      <c r="J390" s="28" t="s">
        <v>745</v>
      </c>
      <c r="K390" s="28" t="s">
        <v>952</v>
      </c>
      <c r="L390" s="28" t="s">
        <v>269</v>
      </c>
      <c r="M390" s="28" t="s">
        <v>212</v>
      </c>
      <c r="N390" s="28" t="s">
        <v>545</v>
      </c>
      <c r="O390" s="28" t="s">
        <v>1297</v>
      </c>
      <c r="Q390" s="28" t="s">
        <v>452</v>
      </c>
      <c r="U390" s="28" t="s">
        <v>1656</v>
      </c>
      <c r="X390" s="28" t="s">
        <v>271</v>
      </c>
      <c r="Z390" s="28" t="s">
        <v>808</v>
      </c>
      <c r="AA390" s="28" t="s">
        <v>705</v>
      </c>
      <c r="AB390" s="28" t="s">
        <v>705</v>
      </c>
      <c r="AC390" s="28" t="s">
        <v>1982</v>
      </c>
    </row>
    <row r="391" spans="3:30" x14ac:dyDescent="0.25">
      <c r="D391" s="28" t="s">
        <v>431</v>
      </c>
      <c r="E391" s="28" t="s">
        <v>540</v>
      </c>
      <c r="G391" s="28" t="s">
        <v>248</v>
      </c>
      <c r="J391" s="28" t="s">
        <v>746</v>
      </c>
      <c r="K391" s="28" t="s">
        <v>740</v>
      </c>
      <c r="L391" s="28" t="s">
        <v>270</v>
      </c>
      <c r="M391" s="28" t="s">
        <v>244</v>
      </c>
      <c r="N391" s="28" t="s">
        <v>160</v>
      </c>
      <c r="P391" s="28" t="s">
        <v>1364</v>
      </c>
      <c r="Q391" s="28" t="s">
        <v>452</v>
      </c>
      <c r="R391" s="28" t="s">
        <v>764</v>
      </c>
      <c r="W391" s="28" t="s">
        <v>304</v>
      </c>
      <c r="Y391" s="28" t="s">
        <v>420</v>
      </c>
      <c r="AA391" s="28" t="s">
        <v>1939</v>
      </c>
      <c r="AB391" s="28" t="s">
        <v>1952</v>
      </c>
      <c r="AD391" s="28" t="s">
        <v>244</v>
      </c>
    </row>
    <row r="392" spans="3:30" x14ac:dyDescent="0.25">
      <c r="C392" s="28" t="s">
        <v>357</v>
      </c>
      <c r="E392" s="28" t="s">
        <v>541</v>
      </c>
      <c r="F392" s="28" t="s">
        <v>254</v>
      </c>
      <c r="G392" s="28" t="s">
        <v>246</v>
      </c>
      <c r="H392" s="28" t="s">
        <v>654</v>
      </c>
      <c r="I392" s="28" t="s">
        <v>803</v>
      </c>
      <c r="J392" s="28" t="s">
        <v>378</v>
      </c>
      <c r="K392" s="28" t="s">
        <v>741</v>
      </c>
      <c r="L392" s="28" t="s">
        <v>268</v>
      </c>
      <c r="O392" s="28" t="s">
        <v>808</v>
      </c>
      <c r="Q392" s="28" t="s">
        <v>452</v>
      </c>
      <c r="U392" s="28" t="s">
        <v>362</v>
      </c>
      <c r="X392" s="28" t="s">
        <v>254</v>
      </c>
      <c r="Y392" s="28" t="s">
        <v>244</v>
      </c>
      <c r="Z392" s="28" t="s">
        <v>1909</v>
      </c>
      <c r="AC392" s="28" t="s">
        <v>1979</v>
      </c>
    </row>
    <row r="393" spans="3:30" x14ac:dyDescent="0.25">
      <c r="D393" s="28" t="s">
        <v>420</v>
      </c>
      <c r="E393" s="28" t="s">
        <v>542</v>
      </c>
      <c r="F393" s="28" t="s">
        <v>255</v>
      </c>
      <c r="G393" s="28" t="s">
        <v>256</v>
      </c>
      <c r="I393" s="28" t="s">
        <v>346</v>
      </c>
      <c r="J393" s="28" t="s">
        <v>747</v>
      </c>
      <c r="K393" s="28" t="s">
        <v>742</v>
      </c>
      <c r="L393" s="28" t="s">
        <v>267</v>
      </c>
      <c r="M393" s="28" t="s">
        <v>419</v>
      </c>
      <c r="N393" s="28" t="s">
        <v>1172</v>
      </c>
      <c r="P393" s="28" t="s">
        <v>762</v>
      </c>
      <c r="Q393" s="28" t="s">
        <v>452</v>
      </c>
      <c r="R393" s="28" t="s">
        <v>765</v>
      </c>
      <c r="W393" s="28" t="s">
        <v>305</v>
      </c>
      <c r="Y393" s="28" t="s">
        <v>160</v>
      </c>
      <c r="AA393" s="28" t="s">
        <v>1891</v>
      </c>
      <c r="AB393" s="28" t="s">
        <v>1891</v>
      </c>
      <c r="AC393" s="28" t="s">
        <v>1980</v>
      </c>
      <c r="AD393" s="28" t="s">
        <v>921</v>
      </c>
    </row>
    <row r="394" spans="3:30" x14ac:dyDescent="0.25">
      <c r="C394" s="28" t="s">
        <v>358</v>
      </c>
      <c r="F394" s="28" t="s">
        <v>248</v>
      </c>
      <c r="G394" s="28" t="s">
        <v>254</v>
      </c>
      <c r="H394" s="28" t="s">
        <v>758</v>
      </c>
      <c r="K394" s="28" t="s">
        <v>743</v>
      </c>
      <c r="L394" s="28" t="s">
        <v>269</v>
      </c>
      <c r="M394" s="28" t="s">
        <v>422</v>
      </c>
      <c r="O394" s="28" t="s">
        <v>676</v>
      </c>
      <c r="P394" s="28" t="s">
        <v>1365</v>
      </c>
      <c r="U394" s="28" t="s">
        <v>350</v>
      </c>
      <c r="X394" s="28" t="s">
        <v>272</v>
      </c>
      <c r="Z394" s="28" t="s">
        <v>455</v>
      </c>
    </row>
    <row r="395" spans="3:30" x14ac:dyDescent="0.25">
      <c r="D395" s="28" t="s">
        <v>160</v>
      </c>
      <c r="E395" s="28" t="s">
        <v>543</v>
      </c>
      <c r="F395" s="28" t="s">
        <v>246</v>
      </c>
      <c r="G395" s="28" t="s">
        <v>255</v>
      </c>
      <c r="I395" s="28" t="s">
        <v>77</v>
      </c>
      <c r="J395" s="28" t="s">
        <v>748</v>
      </c>
      <c r="K395" s="28" t="s">
        <v>744</v>
      </c>
      <c r="L395" s="28" t="s">
        <v>265</v>
      </c>
      <c r="M395" s="28" t="s">
        <v>212</v>
      </c>
      <c r="N395" s="28" t="s">
        <v>1206</v>
      </c>
      <c r="O395" s="28" t="s">
        <v>982</v>
      </c>
      <c r="Q395" s="28" t="s">
        <v>703</v>
      </c>
      <c r="R395" s="28" t="s">
        <v>363</v>
      </c>
      <c r="W395" s="28" t="s">
        <v>296</v>
      </c>
      <c r="X395" s="28" t="s">
        <v>273</v>
      </c>
      <c r="Y395" s="28" t="s">
        <v>1882</v>
      </c>
      <c r="AA395" s="28" t="s">
        <v>880</v>
      </c>
      <c r="AB395" s="28" t="s">
        <v>880</v>
      </c>
      <c r="AC395" s="28" t="s">
        <v>1983</v>
      </c>
      <c r="AD395" s="28" t="s">
        <v>1982</v>
      </c>
    </row>
    <row r="396" spans="3:30" x14ac:dyDescent="0.25">
      <c r="C396" s="28" t="s">
        <v>359</v>
      </c>
      <c r="F396" s="28" t="s">
        <v>256</v>
      </c>
      <c r="G396" s="28" t="s">
        <v>257</v>
      </c>
      <c r="H396" s="28" t="s">
        <v>160</v>
      </c>
      <c r="J396" s="28" t="s">
        <v>749</v>
      </c>
      <c r="L396" s="28" t="s">
        <v>254</v>
      </c>
      <c r="M396" s="28" t="s">
        <v>244</v>
      </c>
      <c r="P396" s="28" t="s">
        <v>1342</v>
      </c>
      <c r="Q396" s="28" t="s">
        <v>368</v>
      </c>
      <c r="U396" s="28" t="s">
        <v>364</v>
      </c>
      <c r="W396" s="28" t="s">
        <v>297</v>
      </c>
      <c r="X396" s="28" t="s">
        <v>274</v>
      </c>
      <c r="Z396" s="28" t="s">
        <v>441</v>
      </c>
      <c r="AA396" s="28" t="s">
        <v>881</v>
      </c>
      <c r="AB396" s="28" t="s">
        <v>881</v>
      </c>
      <c r="AC396" s="28" t="s">
        <v>1984</v>
      </c>
    </row>
    <row r="397" spans="3:30" x14ac:dyDescent="0.25">
      <c r="D397" s="28" t="s">
        <v>160</v>
      </c>
      <c r="E397" s="28" t="s">
        <v>391</v>
      </c>
      <c r="F397" s="28" t="s">
        <v>254</v>
      </c>
      <c r="G397" s="28" t="s">
        <v>247</v>
      </c>
      <c r="I397" s="28" t="s">
        <v>804</v>
      </c>
      <c r="K397" s="28" t="s">
        <v>378</v>
      </c>
      <c r="N397" s="28" t="s">
        <v>422</v>
      </c>
      <c r="O397" s="28" t="s">
        <v>1282</v>
      </c>
      <c r="R397" s="28" t="s">
        <v>82</v>
      </c>
      <c r="W397" s="28" t="s">
        <v>298</v>
      </c>
      <c r="X397" s="28" t="s">
        <v>266</v>
      </c>
      <c r="Y397" s="28" t="s">
        <v>1890</v>
      </c>
      <c r="AA397" s="28" t="s">
        <v>882</v>
      </c>
      <c r="AB397" s="28" t="s">
        <v>882</v>
      </c>
      <c r="AC397" s="28" t="s">
        <v>1985</v>
      </c>
      <c r="AD397" s="28" t="s">
        <v>244</v>
      </c>
    </row>
    <row r="398" spans="3:30" x14ac:dyDescent="0.25">
      <c r="C398" s="28" t="s">
        <v>360</v>
      </c>
      <c r="F398" s="28" t="s">
        <v>255</v>
      </c>
      <c r="G398" s="28" t="s">
        <v>258</v>
      </c>
      <c r="H398" s="28" t="s">
        <v>759</v>
      </c>
      <c r="J398" s="28" t="s">
        <v>750</v>
      </c>
      <c r="K398" s="28" t="s">
        <v>745</v>
      </c>
      <c r="L398" s="28" t="s">
        <v>271</v>
      </c>
      <c r="M398" s="28" t="s">
        <v>212</v>
      </c>
      <c r="N398" s="28" t="s">
        <v>422</v>
      </c>
      <c r="P398" s="28" t="s">
        <v>275</v>
      </c>
      <c r="Q398" s="28" t="s">
        <v>1430</v>
      </c>
      <c r="U398" s="28" t="s">
        <v>363</v>
      </c>
      <c r="W398" s="28" t="s">
        <v>299</v>
      </c>
      <c r="X398" s="28" t="s">
        <v>275</v>
      </c>
      <c r="Z398" s="28" t="s">
        <v>160</v>
      </c>
      <c r="AC398" s="28" t="s">
        <v>1986</v>
      </c>
    </row>
    <row r="399" spans="3:30" x14ac:dyDescent="0.25">
      <c r="D399" s="28" t="s">
        <v>283</v>
      </c>
      <c r="E399" s="28" t="s">
        <v>392</v>
      </c>
      <c r="F399" s="28" t="s">
        <v>257</v>
      </c>
      <c r="G399" s="28" t="s">
        <v>259</v>
      </c>
      <c r="I399" s="28" t="s">
        <v>805</v>
      </c>
      <c r="K399" s="28" t="s">
        <v>746</v>
      </c>
      <c r="M399" s="28" t="s">
        <v>1147</v>
      </c>
      <c r="O399" s="28" t="s">
        <v>1281</v>
      </c>
      <c r="R399" s="28" t="s">
        <v>766</v>
      </c>
      <c r="W399" s="28" t="s">
        <v>300</v>
      </c>
      <c r="Y399" s="28" t="s">
        <v>1193</v>
      </c>
      <c r="Z399" s="28" t="s">
        <v>160</v>
      </c>
      <c r="AA399" s="28" t="s">
        <v>883</v>
      </c>
      <c r="AB399" s="28" t="s">
        <v>883</v>
      </c>
      <c r="AD399" s="28" t="s">
        <v>562</v>
      </c>
    </row>
    <row r="400" spans="3:30" x14ac:dyDescent="0.25">
      <c r="C400" s="28" t="s">
        <v>361</v>
      </c>
      <c r="E400" s="28" t="s">
        <v>393</v>
      </c>
      <c r="F400" s="28" t="s">
        <v>247</v>
      </c>
      <c r="H400" s="28" t="s">
        <v>760</v>
      </c>
      <c r="J400" s="28" t="s">
        <v>751</v>
      </c>
      <c r="K400" s="28" t="s">
        <v>378</v>
      </c>
      <c r="L400" s="28" t="s">
        <v>273</v>
      </c>
      <c r="N400" s="28" t="s">
        <v>1207</v>
      </c>
      <c r="P400" s="28" t="s">
        <v>764</v>
      </c>
      <c r="Q400" s="28" t="s">
        <v>704</v>
      </c>
      <c r="U400" s="28" t="s">
        <v>160</v>
      </c>
      <c r="W400" s="28" t="s">
        <v>301</v>
      </c>
      <c r="X400" s="28" t="s">
        <v>1604</v>
      </c>
      <c r="AC400" s="28" t="s">
        <v>1983</v>
      </c>
    </row>
    <row r="401" spans="3:30" x14ac:dyDescent="0.25">
      <c r="D401" s="28" t="s">
        <v>283</v>
      </c>
      <c r="E401" s="28" t="s">
        <v>160</v>
      </c>
      <c r="F401" s="28" t="s">
        <v>258</v>
      </c>
      <c r="G401" s="28" t="s">
        <v>247</v>
      </c>
      <c r="I401" s="28" t="s">
        <v>363</v>
      </c>
      <c r="K401" s="28" t="s">
        <v>747</v>
      </c>
      <c r="L401" s="28" t="s">
        <v>274</v>
      </c>
      <c r="M401" s="28" t="s">
        <v>1137</v>
      </c>
      <c r="O401" s="28" t="s">
        <v>243</v>
      </c>
      <c r="Q401" s="28" t="s">
        <v>705</v>
      </c>
      <c r="R401" s="28" t="s">
        <v>767</v>
      </c>
      <c r="W401" s="28" t="s">
        <v>302</v>
      </c>
      <c r="Y401" s="28" t="s">
        <v>212</v>
      </c>
      <c r="Z401" s="28" t="s">
        <v>285</v>
      </c>
      <c r="AA401" s="28" t="s">
        <v>884</v>
      </c>
      <c r="AB401" s="28" t="s">
        <v>884</v>
      </c>
      <c r="AC401" s="28" t="s">
        <v>1984</v>
      </c>
      <c r="AD401" s="28" t="s">
        <v>962</v>
      </c>
    </row>
    <row r="402" spans="3:30" x14ac:dyDescent="0.25">
      <c r="C402" s="28" t="s">
        <v>362</v>
      </c>
      <c r="E402" s="28" t="s">
        <v>211</v>
      </c>
      <c r="F402" s="28" t="s">
        <v>259</v>
      </c>
      <c r="G402" s="28" t="s">
        <v>260</v>
      </c>
      <c r="H402" s="28" t="s">
        <v>761</v>
      </c>
      <c r="J402" s="28" t="s">
        <v>703</v>
      </c>
      <c r="L402" s="28" t="s">
        <v>266</v>
      </c>
      <c r="N402" s="28" t="s">
        <v>1208</v>
      </c>
      <c r="P402" s="28" t="s">
        <v>765</v>
      </c>
      <c r="U402" s="28" t="s">
        <v>160</v>
      </c>
      <c r="X402" s="28" t="s">
        <v>1606</v>
      </c>
      <c r="Z402" s="28" t="s">
        <v>212</v>
      </c>
      <c r="AC402" s="28" t="s">
        <v>1985</v>
      </c>
    </row>
    <row r="403" spans="3:30" x14ac:dyDescent="0.25">
      <c r="D403" s="28" t="s">
        <v>432</v>
      </c>
      <c r="G403" s="28" t="s">
        <v>247</v>
      </c>
      <c r="I403" s="28" t="s">
        <v>160</v>
      </c>
      <c r="J403" s="28" t="s">
        <v>368</v>
      </c>
      <c r="K403" s="28" t="s">
        <v>748</v>
      </c>
      <c r="L403" s="28" t="s">
        <v>275</v>
      </c>
      <c r="M403" s="28" t="s">
        <v>212</v>
      </c>
      <c r="O403" s="28" t="s">
        <v>160</v>
      </c>
      <c r="Q403" s="28" t="s">
        <v>1396</v>
      </c>
      <c r="R403" s="28" t="s">
        <v>768</v>
      </c>
      <c r="W403" s="28" t="s">
        <v>287</v>
      </c>
      <c r="Y403" s="28" t="s">
        <v>212</v>
      </c>
      <c r="Z403" s="28" t="s">
        <v>285</v>
      </c>
      <c r="AA403" s="28" t="s">
        <v>885</v>
      </c>
      <c r="AB403" s="28" t="s">
        <v>885</v>
      </c>
      <c r="AC403" s="28" t="s">
        <v>1986</v>
      </c>
      <c r="AD403" s="28" t="s">
        <v>285</v>
      </c>
    </row>
    <row r="404" spans="3:30" x14ac:dyDescent="0.25">
      <c r="C404" s="28" t="s">
        <v>363</v>
      </c>
      <c r="E404" s="28" t="s">
        <v>394</v>
      </c>
      <c r="F404" s="28" t="s">
        <v>247</v>
      </c>
      <c r="G404" s="28" t="s">
        <v>261</v>
      </c>
      <c r="H404" s="28" t="s">
        <v>761</v>
      </c>
      <c r="K404" s="28" t="s">
        <v>749</v>
      </c>
      <c r="N404" s="28" t="s">
        <v>244</v>
      </c>
      <c r="P404" s="28" t="s">
        <v>363</v>
      </c>
      <c r="Q404" s="28" t="s">
        <v>1399</v>
      </c>
      <c r="U404" s="28" t="s">
        <v>1657</v>
      </c>
      <c r="W404" s="28" t="s">
        <v>288</v>
      </c>
      <c r="X404" s="28" t="s">
        <v>1607</v>
      </c>
      <c r="AD404" s="28" t="s">
        <v>160</v>
      </c>
    </row>
    <row r="405" spans="3:30" x14ac:dyDescent="0.25">
      <c r="D405" s="28" t="s">
        <v>241</v>
      </c>
      <c r="E405" s="28" t="s">
        <v>368</v>
      </c>
      <c r="F405" s="28" t="s">
        <v>260</v>
      </c>
      <c r="G405" s="28" t="s">
        <v>254</v>
      </c>
      <c r="I405" s="28" t="s">
        <v>212</v>
      </c>
      <c r="J405" s="28" t="s">
        <v>752</v>
      </c>
      <c r="L405" s="28" t="s">
        <v>1126</v>
      </c>
      <c r="M405" s="28" t="s">
        <v>243</v>
      </c>
      <c r="O405" s="28" t="s">
        <v>285</v>
      </c>
      <c r="Q405" s="28" t="s">
        <v>1392</v>
      </c>
      <c r="R405" s="28" t="s">
        <v>674</v>
      </c>
      <c r="U405" s="28" t="s">
        <v>1658</v>
      </c>
      <c r="Y405" s="28" t="s">
        <v>967</v>
      </c>
      <c r="Z405" s="28" t="s">
        <v>212</v>
      </c>
      <c r="AA405" s="28" t="s">
        <v>687</v>
      </c>
      <c r="AB405" s="28" t="s">
        <v>687</v>
      </c>
      <c r="AC405" s="28" t="s">
        <v>1894</v>
      </c>
    </row>
    <row r="406" spans="3:30" x14ac:dyDescent="0.25">
      <c r="C406" s="28" t="s">
        <v>350</v>
      </c>
      <c r="E406" s="28" t="s">
        <v>278</v>
      </c>
      <c r="F406" s="28" t="s">
        <v>247</v>
      </c>
      <c r="G406" s="28" t="s">
        <v>262</v>
      </c>
      <c r="H406" s="28" t="s">
        <v>762</v>
      </c>
      <c r="K406" s="28" t="s">
        <v>750</v>
      </c>
      <c r="N406" s="28" t="s">
        <v>285</v>
      </c>
      <c r="O406" s="28" t="s">
        <v>212</v>
      </c>
      <c r="P406" s="28" t="s">
        <v>82</v>
      </c>
      <c r="Q406" s="28" t="s">
        <v>1400</v>
      </c>
      <c r="W406" s="28" t="s">
        <v>289</v>
      </c>
      <c r="X406" s="28" t="s">
        <v>1776</v>
      </c>
      <c r="AA406" s="28" t="s">
        <v>1940</v>
      </c>
      <c r="AB406" s="28" t="s">
        <v>1940</v>
      </c>
      <c r="AC406" s="28" t="s">
        <v>1882</v>
      </c>
      <c r="AD406" s="28" t="s">
        <v>422</v>
      </c>
    </row>
    <row r="407" spans="3:30" x14ac:dyDescent="0.25">
      <c r="C407" s="28" t="s">
        <v>160</v>
      </c>
      <c r="D407" s="28" t="s">
        <v>373</v>
      </c>
      <c r="E407" s="28" t="s">
        <v>160</v>
      </c>
      <c r="F407" s="28" t="s">
        <v>261</v>
      </c>
      <c r="G407" s="28" t="s">
        <v>254</v>
      </c>
      <c r="H407" s="28" t="s">
        <v>763</v>
      </c>
      <c r="I407" s="28" t="s">
        <v>974</v>
      </c>
      <c r="J407" s="28" t="s">
        <v>753</v>
      </c>
      <c r="L407" s="28" t="s">
        <v>849</v>
      </c>
      <c r="M407" s="28" t="s">
        <v>417</v>
      </c>
      <c r="Q407" s="28" t="s">
        <v>1398</v>
      </c>
      <c r="R407" s="28" t="s">
        <v>769</v>
      </c>
      <c r="U407" s="28" t="s">
        <v>808</v>
      </c>
      <c r="Y407" s="28" t="s">
        <v>915</v>
      </c>
      <c r="Z407" s="28" t="s">
        <v>419</v>
      </c>
    </row>
    <row r="408" spans="3:30" x14ac:dyDescent="0.25">
      <c r="F408" s="28" t="s">
        <v>254</v>
      </c>
      <c r="G408" s="28" t="s">
        <v>255</v>
      </c>
      <c r="I408" s="28" t="s">
        <v>975</v>
      </c>
      <c r="K408" s="28" t="s">
        <v>751</v>
      </c>
      <c r="L408" s="28" t="s">
        <v>850</v>
      </c>
      <c r="N408" s="28" t="s">
        <v>243</v>
      </c>
      <c r="O408" s="28" t="s">
        <v>1180</v>
      </c>
      <c r="P408" s="28" t="s">
        <v>766</v>
      </c>
      <c r="Q408" s="28" t="s">
        <v>1405</v>
      </c>
      <c r="W408" s="28" t="s">
        <v>290</v>
      </c>
      <c r="X408" s="28" t="s">
        <v>1788</v>
      </c>
      <c r="Y408" s="28" t="s">
        <v>705</v>
      </c>
      <c r="Z408" s="28" t="s">
        <v>422</v>
      </c>
      <c r="AA408" s="28" t="s">
        <v>886</v>
      </c>
      <c r="AB408" s="28" t="s">
        <v>886</v>
      </c>
      <c r="AC408" s="28" t="s">
        <v>1987</v>
      </c>
      <c r="AD408" s="28" t="s">
        <v>160</v>
      </c>
    </row>
    <row r="409" spans="3:30" x14ac:dyDescent="0.25">
      <c r="C409" s="28" t="s">
        <v>364</v>
      </c>
      <c r="D409" s="28" t="s">
        <v>433</v>
      </c>
      <c r="E409" s="28" t="s">
        <v>384</v>
      </c>
      <c r="F409" s="28" t="s">
        <v>262</v>
      </c>
      <c r="G409" s="28" t="s">
        <v>263</v>
      </c>
      <c r="H409" s="28" t="s">
        <v>654</v>
      </c>
      <c r="J409" s="28" t="s">
        <v>754</v>
      </c>
      <c r="M409" s="28" t="s">
        <v>160</v>
      </c>
      <c r="Q409" s="28" t="s">
        <v>1406</v>
      </c>
      <c r="R409" s="28" t="s">
        <v>770</v>
      </c>
      <c r="U409" s="28" t="s">
        <v>365</v>
      </c>
      <c r="W409" s="28" t="s">
        <v>291</v>
      </c>
      <c r="Y409" s="28" t="s">
        <v>1874</v>
      </c>
      <c r="Z409" s="28" t="s">
        <v>212</v>
      </c>
      <c r="AD409" s="28" t="s">
        <v>422</v>
      </c>
    </row>
    <row r="410" spans="3:30" x14ac:dyDescent="0.25">
      <c r="F410" s="28" t="s">
        <v>254</v>
      </c>
      <c r="G410" s="28" t="s">
        <v>261</v>
      </c>
      <c r="I410" s="28" t="s">
        <v>808</v>
      </c>
      <c r="J410" s="28" t="s">
        <v>755</v>
      </c>
      <c r="K410" s="28" t="s">
        <v>703</v>
      </c>
      <c r="L410" s="28" t="s">
        <v>830</v>
      </c>
      <c r="N410" s="28" t="s">
        <v>764</v>
      </c>
      <c r="O410" s="28" t="s">
        <v>1285</v>
      </c>
      <c r="P410" s="28" t="s">
        <v>767</v>
      </c>
      <c r="W410" s="28" t="s">
        <v>292</v>
      </c>
      <c r="X410" s="28" t="s">
        <v>1606</v>
      </c>
      <c r="AA410" s="28" t="s">
        <v>205</v>
      </c>
      <c r="AB410" s="28" t="s">
        <v>205</v>
      </c>
      <c r="AC410" s="28" t="s">
        <v>1882</v>
      </c>
      <c r="AD410" s="28" t="s">
        <v>160</v>
      </c>
    </row>
    <row r="411" spans="3:30" x14ac:dyDescent="0.25">
      <c r="C411" s="28" t="s">
        <v>160</v>
      </c>
      <c r="D411" s="28" t="s">
        <v>243</v>
      </c>
      <c r="E411" s="28" t="s">
        <v>395</v>
      </c>
      <c r="F411" s="28" t="s">
        <v>255</v>
      </c>
      <c r="G411" s="28" t="s">
        <v>245</v>
      </c>
      <c r="H411" s="28" t="s">
        <v>275</v>
      </c>
      <c r="K411" s="28" t="s">
        <v>368</v>
      </c>
      <c r="L411" s="28" t="s">
        <v>831</v>
      </c>
      <c r="M411" s="28" t="s">
        <v>424</v>
      </c>
      <c r="Q411" s="28" t="s">
        <v>160</v>
      </c>
      <c r="R411" s="28" t="s">
        <v>1499</v>
      </c>
      <c r="W411" s="28" t="s">
        <v>293</v>
      </c>
      <c r="Y411" s="28" t="s">
        <v>1891</v>
      </c>
      <c r="Z411" s="28" t="s">
        <v>212</v>
      </c>
    </row>
    <row r="412" spans="3:30" x14ac:dyDescent="0.25">
      <c r="E412" s="28" t="s">
        <v>396</v>
      </c>
      <c r="F412" s="28" t="s">
        <v>263</v>
      </c>
      <c r="G412" s="28" t="s">
        <v>264</v>
      </c>
      <c r="I412" s="28" t="s">
        <v>809</v>
      </c>
      <c r="J412" s="28" t="s">
        <v>756</v>
      </c>
      <c r="M412" s="28" t="s">
        <v>212</v>
      </c>
      <c r="N412" s="28" t="s">
        <v>285</v>
      </c>
      <c r="O412" s="28" t="s">
        <v>1298</v>
      </c>
      <c r="P412" s="28" t="s">
        <v>768</v>
      </c>
      <c r="Q412" s="28" t="s">
        <v>160</v>
      </c>
      <c r="W412" s="28" t="s">
        <v>294</v>
      </c>
      <c r="X412" s="28" t="s">
        <v>1607</v>
      </c>
      <c r="AA412" s="28" t="s">
        <v>887</v>
      </c>
      <c r="AB412" s="28" t="s">
        <v>887</v>
      </c>
      <c r="AC412" s="28" t="s">
        <v>1965</v>
      </c>
      <c r="AD412" s="28" t="s">
        <v>160</v>
      </c>
    </row>
    <row r="413" spans="3:30" x14ac:dyDescent="0.25">
      <c r="C413" s="28" t="s">
        <v>365</v>
      </c>
      <c r="D413" s="28" t="s">
        <v>285</v>
      </c>
      <c r="F413" s="28" t="s">
        <v>261</v>
      </c>
      <c r="H413" s="28" t="s">
        <v>764</v>
      </c>
      <c r="I413" s="28" t="s">
        <v>810</v>
      </c>
      <c r="J413" s="28" t="s">
        <v>757</v>
      </c>
      <c r="K413" s="28" t="s">
        <v>752</v>
      </c>
      <c r="L413" s="28" t="s">
        <v>832</v>
      </c>
      <c r="N413" s="28" t="s">
        <v>420</v>
      </c>
      <c r="Q413" s="28" t="s">
        <v>160</v>
      </c>
      <c r="R413" s="28" t="s">
        <v>772</v>
      </c>
      <c r="Y413" s="28" t="s">
        <v>880</v>
      </c>
      <c r="Z413" s="28" t="s">
        <v>243</v>
      </c>
      <c r="AA413" s="28" t="s">
        <v>888</v>
      </c>
      <c r="AB413" s="28" t="s">
        <v>888</v>
      </c>
    </row>
    <row r="414" spans="3:30" x14ac:dyDescent="0.25">
      <c r="E414" s="28" t="s">
        <v>397</v>
      </c>
      <c r="F414" s="28" t="s">
        <v>245</v>
      </c>
      <c r="G414" s="28" t="s">
        <v>255</v>
      </c>
      <c r="I414" s="28" t="s">
        <v>811</v>
      </c>
      <c r="L414" s="28" t="s">
        <v>833</v>
      </c>
      <c r="M414" s="28" t="s">
        <v>1131</v>
      </c>
      <c r="N414" s="28" t="s">
        <v>244</v>
      </c>
      <c r="O414" s="28" t="s">
        <v>1299</v>
      </c>
      <c r="P414" s="28" t="s">
        <v>674</v>
      </c>
      <c r="Q414" s="28" t="s">
        <v>160</v>
      </c>
      <c r="R414" s="28" t="s">
        <v>773</v>
      </c>
      <c r="W414" s="28" t="s">
        <v>295</v>
      </c>
      <c r="X414" s="28" t="s">
        <v>1711</v>
      </c>
      <c r="Y414" s="28" t="s">
        <v>881</v>
      </c>
      <c r="AA414" s="28" t="s">
        <v>1942</v>
      </c>
      <c r="AB414" s="28" t="s">
        <v>1942</v>
      </c>
      <c r="AC414" s="28" t="s">
        <v>1892</v>
      </c>
      <c r="AD414" s="28" t="s">
        <v>212</v>
      </c>
    </row>
    <row r="415" spans="3:30" x14ac:dyDescent="0.25">
      <c r="D415" s="28" t="s">
        <v>417</v>
      </c>
      <c r="E415" s="28" t="s">
        <v>398</v>
      </c>
      <c r="F415" s="28" t="s">
        <v>264</v>
      </c>
      <c r="H415" s="28" t="s">
        <v>765</v>
      </c>
      <c r="I415" s="28" t="s">
        <v>812</v>
      </c>
      <c r="J415" s="28" t="s">
        <v>996</v>
      </c>
      <c r="K415" s="28" t="s">
        <v>753</v>
      </c>
      <c r="Q415" s="28" t="s">
        <v>160</v>
      </c>
      <c r="R415" s="28" t="s">
        <v>774</v>
      </c>
      <c r="Y415" s="28" t="s">
        <v>882</v>
      </c>
      <c r="Z415" s="28" t="s">
        <v>243</v>
      </c>
      <c r="AC415" s="28" t="s">
        <v>1882</v>
      </c>
    </row>
    <row r="416" spans="3:30" x14ac:dyDescent="0.25">
      <c r="E416" s="28" t="s">
        <v>399</v>
      </c>
      <c r="G416" s="28" t="s">
        <v>250</v>
      </c>
      <c r="I416" s="28" t="s">
        <v>809</v>
      </c>
      <c r="L416" s="28" t="s">
        <v>834</v>
      </c>
      <c r="M416" s="28" t="s">
        <v>285</v>
      </c>
      <c r="N416" s="28" t="s">
        <v>160</v>
      </c>
      <c r="O416" s="28" t="s">
        <v>285</v>
      </c>
      <c r="P416" s="28" t="s">
        <v>769</v>
      </c>
      <c r="Q416" s="28" t="s">
        <v>160</v>
      </c>
      <c r="R416" s="28" t="s">
        <v>775</v>
      </c>
      <c r="W416" s="28" t="s">
        <v>306</v>
      </c>
      <c r="X416" s="28" t="s">
        <v>1789</v>
      </c>
      <c r="AA416" s="28" t="s">
        <v>889</v>
      </c>
      <c r="AB416" s="28" t="s">
        <v>889</v>
      </c>
      <c r="AD416" s="28" t="s">
        <v>419</v>
      </c>
    </row>
    <row r="417" spans="4:30" x14ac:dyDescent="0.25">
      <c r="D417" s="28" t="s">
        <v>434</v>
      </c>
      <c r="F417" s="28" t="s">
        <v>255</v>
      </c>
      <c r="G417" s="28" t="s">
        <v>261</v>
      </c>
      <c r="H417" s="28" t="s">
        <v>363</v>
      </c>
      <c r="I417" s="28" t="s">
        <v>813</v>
      </c>
      <c r="J417" s="28" t="s">
        <v>1017</v>
      </c>
      <c r="K417" s="28" t="s">
        <v>754</v>
      </c>
      <c r="L417" s="28" t="s">
        <v>835</v>
      </c>
      <c r="N417" s="28" t="s">
        <v>160</v>
      </c>
      <c r="Q417" s="28" t="s">
        <v>160</v>
      </c>
      <c r="Y417" s="28" t="s">
        <v>883</v>
      </c>
      <c r="Z417" s="28" t="s">
        <v>1910</v>
      </c>
      <c r="AA417" s="28" t="s">
        <v>1942</v>
      </c>
      <c r="AB417" s="28" t="s">
        <v>1942</v>
      </c>
      <c r="AC417" s="28" t="s">
        <v>1988</v>
      </c>
      <c r="AD417" s="28" t="s">
        <v>244</v>
      </c>
    </row>
    <row r="418" spans="4:30" x14ac:dyDescent="0.25">
      <c r="E418" s="28" t="s">
        <v>400</v>
      </c>
      <c r="G418" s="28" t="s">
        <v>245</v>
      </c>
      <c r="I418" s="28" t="s">
        <v>811</v>
      </c>
      <c r="K418" s="28" t="s">
        <v>755</v>
      </c>
      <c r="M418" s="28" t="s">
        <v>285</v>
      </c>
      <c r="O418" s="28" t="s">
        <v>244</v>
      </c>
      <c r="P418" s="28" t="s">
        <v>770</v>
      </c>
      <c r="R418" s="28" t="s">
        <v>776</v>
      </c>
      <c r="W418" s="28" t="s">
        <v>308</v>
      </c>
      <c r="X418" s="28" t="s">
        <v>1724</v>
      </c>
      <c r="Z418" s="28" t="s">
        <v>1911</v>
      </c>
    </row>
    <row r="419" spans="4:30" x14ac:dyDescent="0.25">
      <c r="D419" s="28" t="s">
        <v>435</v>
      </c>
      <c r="E419" s="28" t="s">
        <v>401</v>
      </c>
      <c r="F419" s="28" t="s">
        <v>250</v>
      </c>
      <c r="G419" s="28" t="s">
        <v>263</v>
      </c>
      <c r="H419" s="28" t="s">
        <v>82</v>
      </c>
      <c r="I419" s="28" t="s">
        <v>814</v>
      </c>
      <c r="J419" s="28" t="s">
        <v>160</v>
      </c>
      <c r="L419" s="28" t="s">
        <v>837</v>
      </c>
      <c r="N419" s="28" t="s">
        <v>243</v>
      </c>
      <c r="Q419" s="28" t="s">
        <v>989</v>
      </c>
      <c r="R419" s="28" t="s">
        <v>777</v>
      </c>
      <c r="W419" s="28" t="s">
        <v>311</v>
      </c>
      <c r="X419" s="28" t="s">
        <v>1725</v>
      </c>
      <c r="Y419" s="28" t="s">
        <v>884</v>
      </c>
      <c r="AA419" s="28" t="s">
        <v>1941</v>
      </c>
      <c r="AB419" s="28" t="s">
        <v>1941</v>
      </c>
      <c r="AC419" s="28" t="s">
        <v>1982</v>
      </c>
      <c r="AD419" s="28" t="s">
        <v>419</v>
      </c>
    </row>
    <row r="420" spans="4:30" x14ac:dyDescent="0.25">
      <c r="E420" s="28" t="s">
        <v>402</v>
      </c>
      <c r="F420" s="28" t="s">
        <v>261</v>
      </c>
      <c r="G420" s="28" t="s">
        <v>254</v>
      </c>
      <c r="I420" s="28" t="s">
        <v>815</v>
      </c>
      <c r="K420" s="28" t="s">
        <v>756</v>
      </c>
      <c r="M420" s="28" t="s">
        <v>285</v>
      </c>
      <c r="N420" s="28" t="s">
        <v>244</v>
      </c>
      <c r="O420" s="28" t="s">
        <v>285</v>
      </c>
      <c r="P420" s="28" t="s">
        <v>1366</v>
      </c>
      <c r="Q420" s="28" t="s">
        <v>1397</v>
      </c>
      <c r="R420" s="28" t="s">
        <v>778</v>
      </c>
      <c r="W420" s="28" t="s">
        <v>309</v>
      </c>
      <c r="X420" s="28" t="s">
        <v>1723</v>
      </c>
      <c r="Z420" s="28" t="s">
        <v>244</v>
      </c>
      <c r="AD420" s="28" t="s">
        <v>285</v>
      </c>
    </row>
    <row r="421" spans="4:30" x14ac:dyDescent="0.25">
      <c r="D421" s="28" t="s">
        <v>419</v>
      </c>
      <c r="F421" s="28" t="s">
        <v>245</v>
      </c>
      <c r="G421" s="28" t="s">
        <v>253</v>
      </c>
      <c r="H421" s="28" t="s">
        <v>766</v>
      </c>
      <c r="I421" s="28" t="s">
        <v>809</v>
      </c>
      <c r="J421" s="28" t="s">
        <v>759</v>
      </c>
      <c r="K421" s="28" t="s">
        <v>757</v>
      </c>
      <c r="L421" s="28" t="s">
        <v>838</v>
      </c>
      <c r="N421" s="28" t="s">
        <v>424</v>
      </c>
      <c r="R421" s="28" t="s">
        <v>779</v>
      </c>
      <c r="Y421" s="28" t="s">
        <v>885</v>
      </c>
      <c r="AA421" s="28" t="s">
        <v>160</v>
      </c>
      <c r="AB421" s="28" t="s">
        <v>160</v>
      </c>
      <c r="AC421" s="28" t="s">
        <v>244</v>
      </c>
    </row>
    <row r="422" spans="4:30" x14ac:dyDescent="0.25">
      <c r="D422" s="28" t="s">
        <v>160</v>
      </c>
      <c r="E422" s="28" t="s">
        <v>403</v>
      </c>
      <c r="F422" s="28" t="s">
        <v>263</v>
      </c>
      <c r="I422" s="28" t="s">
        <v>816</v>
      </c>
      <c r="M422" s="28" t="s">
        <v>1148</v>
      </c>
      <c r="N422" s="28" t="s">
        <v>244</v>
      </c>
      <c r="O422" s="28" t="s">
        <v>1300</v>
      </c>
      <c r="P422" s="28" t="s">
        <v>772</v>
      </c>
      <c r="Q422" s="28" t="s">
        <v>1408</v>
      </c>
      <c r="W422" s="28" t="s">
        <v>1706</v>
      </c>
      <c r="X422" s="28" t="s">
        <v>1790</v>
      </c>
      <c r="Z422" s="28" t="s">
        <v>244</v>
      </c>
      <c r="AD422" s="28" t="s">
        <v>419</v>
      </c>
    </row>
    <row r="423" spans="4:30" x14ac:dyDescent="0.25">
      <c r="E423" s="28" t="s">
        <v>404</v>
      </c>
      <c r="F423" s="28" t="s">
        <v>254</v>
      </c>
      <c r="G423" s="28" t="s">
        <v>254</v>
      </c>
      <c r="H423" s="28" t="s">
        <v>767</v>
      </c>
      <c r="J423" s="28" t="s">
        <v>760</v>
      </c>
      <c r="K423" s="28" t="s">
        <v>1058</v>
      </c>
      <c r="L423" s="28" t="s">
        <v>836</v>
      </c>
      <c r="P423" s="28" t="s">
        <v>773</v>
      </c>
      <c r="R423" s="28" t="s">
        <v>786</v>
      </c>
      <c r="X423" s="28" t="s">
        <v>1791</v>
      </c>
      <c r="Y423" s="28" t="s">
        <v>687</v>
      </c>
      <c r="AA423" s="28" t="s">
        <v>1882</v>
      </c>
      <c r="AB423" s="28" t="s">
        <v>1894</v>
      </c>
      <c r="AC423" s="28" t="s">
        <v>244</v>
      </c>
      <c r="AD423" s="28" t="s">
        <v>244</v>
      </c>
    </row>
    <row r="424" spans="4:30" x14ac:dyDescent="0.25">
      <c r="D424" s="28" t="s">
        <v>160</v>
      </c>
      <c r="F424" s="28" t="s">
        <v>253</v>
      </c>
      <c r="G424" s="28" t="s">
        <v>255</v>
      </c>
      <c r="I424" s="28" t="s">
        <v>909</v>
      </c>
      <c r="M424" s="28" t="s">
        <v>1149</v>
      </c>
      <c r="N424" s="28" t="s">
        <v>160</v>
      </c>
      <c r="O424" s="28" t="s">
        <v>678</v>
      </c>
      <c r="P424" s="28" t="s">
        <v>774</v>
      </c>
      <c r="Q424" s="28" t="s">
        <v>1409</v>
      </c>
      <c r="W424" s="28" t="s">
        <v>316</v>
      </c>
      <c r="X424" s="28" t="s">
        <v>1792</v>
      </c>
      <c r="Y424" s="28" t="s">
        <v>1875</v>
      </c>
      <c r="Z424" s="28" t="s">
        <v>1902</v>
      </c>
      <c r="AB424" s="28" t="s">
        <v>1882</v>
      </c>
    </row>
    <row r="425" spans="4:30" x14ac:dyDescent="0.25">
      <c r="E425" s="28" t="s">
        <v>405</v>
      </c>
      <c r="G425" s="28" t="s">
        <v>248</v>
      </c>
      <c r="H425" s="28" t="s">
        <v>768</v>
      </c>
      <c r="I425" s="28" t="s">
        <v>910</v>
      </c>
      <c r="J425" s="28" t="s">
        <v>1018</v>
      </c>
      <c r="K425" s="28" t="s">
        <v>1084</v>
      </c>
      <c r="L425" s="28" t="s">
        <v>861</v>
      </c>
      <c r="N425" s="28" t="s">
        <v>1105</v>
      </c>
      <c r="O425" s="28" t="s">
        <v>982</v>
      </c>
      <c r="P425" s="28" t="s">
        <v>775</v>
      </c>
      <c r="R425" s="28" t="s">
        <v>786</v>
      </c>
      <c r="W425" s="28" t="s">
        <v>319</v>
      </c>
      <c r="AA425" s="28" t="s">
        <v>244</v>
      </c>
      <c r="AB425" s="28" t="s">
        <v>1948</v>
      </c>
      <c r="AC425" s="28" t="s">
        <v>557</v>
      </c>
      <c r="AD425" s="28" t="s">
        <v>1981</v>
      </c>
    </row>
    <row r="426" spans="4:30" x14ac:dyDescent="0.25">
      <c r="D426" s="28" t="s">
        <v>419</v>
      </c>
      <c r="E426" s="28" t="s">
        <v>406</v>
      </c>
      <c r="F426" s="28" t="s">
        <v>254</v>
      </c>
      <c r="G426" s="28" t="s">
        <v>246</v>
      </c>
      <c r="M426" s="28" t="s">
        <v>419</v>
      </c>
      <c r="Q426" s="28" t="s">
        <v>706</v>
      </c>
      <c r="W426" s="28" t="s">
        <v>317</v>
      </c>
      <c r="X426" s="28" t="s">
        <v>160</v>
      </c>
      <c r="Y426" s="28" t="s">
        <v>886</v>
      </c>
      <c r="Z426" s="28" t="s">
        <v>1912</v>
      </c>
    </row>
    <row r="427" spans="4:30" x14ac:dyDescent="0.25">
      <c r="D427" s="28" t="s">
        <v>212</v>
      </c>
      <c r="E427" s="28" t="s">
        <v>407</v>
      </c>
      <c r="F427" s="28" t="s">
        <v>255</v>
      </c>
      <c r="G427" s="28" t="s">
        <v>256</v>
      </c>
      <c r="H427" s="28" t="s">
        <v>674</v>
      </c>
      <c r="I427" s="28" t="s">
        <v>810</v>
      </c>
      <c r="J427" s="28" t="s">
        <v>1018</v>
      </c>
      <c r="K427" s="28" t="s">
        <v>160</v>
      </c>
      <c r="L427" s="28" t="s">
        <v>839</v>
      </c>
      <c r="M427" s="28" t="s">
        <v>212</v>
      </c>
      <c r="N427" s="28" t="s">
        <v>658</v>
      </c>
      <c r="O427" s="28" t="s">
        <v>1284</v>
      </c>
      <c r="P427" s="28" t="s">
        <v>776</v>
      </c>
      <c r="Q427" s="28" t="s">
        <v>707</v>
      </c>
      <c r="R427" s="28" t="s">
        <v>786</v>
      </c>
      <c r="W427" s="28" t="s">
        <v>1707</v>
      </c>
      <c r="Z427" s="28" t="s">
        <v>1893</v>
      </c>
      <c r="AA427" s="28" t="s">
        <v>212</v>
      </c>
      <c r="AB427" s="28" t="s">
        <v>243</v>
      </c>
      <c r="AC427" s="28" t="s">
        <v>557</v>
      </c>
      <c r="AD427" s="28" t="s">
        <v>1982</v>
      </c>
    </row>
    <row r="428" spans="4:30" x14ac:dyDescent="0.25">
      <c r="F428" s="28" t="s">
        <v>248</v>
      </c>
      <c r="L428" s="28" t="s">
        <v>840</v>
      </c>
      <c r="P428" s="28" t="s">
        <v>777</v>
      </c>
      <c r="Q428" s="28" t="s">
        <v>708</v>
      </c>
      <c r="X428" s="28" t="s">
        <v>160</v>
      </c>
      <c r="Y428" s="28" t="s">
        <v>205</v>
      </c>
      <c r="AB428" s="28" t="s">
        <v>160</v>
      </c>
    </row>
    <row r="429" spans="4:30" x14ac:dyDescent="0.25">
      <c r="D429" s="28" t="s">
        <v>422</v>
      </c>
      <c r="E429" s="28" t="s">
        <v>544</v>
      </c>
      <c r="F429" s="28" t="s">
        <v>246</v>
      </c>
      <c r="G429" s="28" t="s">
        <v>265</v>
      </c>
      <c r="H429" s="28" t="s">
        <v>769</v>
      </c>
      <c r="I429" s="28" t="s">
        <v>811</v>
      </c>
      <c r="J429" s="28" t="s">
        <v>676</v>
      </c>
      <c r="K429" s="28" t="s">
        <v>759</v>
      </c>
      <c r="M429" s="28" t="s">
        <v>424</v>
      </c>
      <c r="N429" s="28" t="s">
        <v>441</v>
      </c>
      <c r="O429" s="28" t="s">
        <v>285</v>
      </c>
      <c r="P429" s="28" t="s">
        <v>778</v>
      </c>
      <c r="Q429" s="28" t="s">
        <v>709</v>
      </c>
      <c r="R429" s="28" t="s">
        <v>781</v>
      </c>
      <c r="W429" s="28" t="s">
        <v>313</v>
      </c>
      <c r="X429" s="28" t="s">
        <v>160</v>
      </c>
      <c r="Z429" s="28" t="s">
        <v>1913</v>
      </c>
      <c r="AA429" s="28" t="s">
        <v>244</v>
      </c>
      <c r="AB429" s="28" t="s">
        <v>160</v>
      </c>
      <c r="AC429" s="28" t="s">
        <v>1462</v>
      </c>
      <c r="AD429" s="28" t="s">
        <v>454</v>
      </c>
    </row>
    <row r="430" spans="4:30" x14ac:dyDescent="0.25">
      <c r="D430" s="28" t="s">
        <v>244</v>
      </c>
      <c r="F430" s="28" t="s">
        <v>256</v>
      </c>
      <c r="G430" s="28" t="s">
        <v>266</v>
      </c>
      <c r="I430" s="28" t="s">
        <v>820</v>
      </c>
      <c r="J430" s="28" t="s">
        <v>1006</v>
      </c>
      <c r="L430" s="28" t="s">
        <v>841</v>
      </c>
      <c r="P430" s="28" t="s">
        <v>779</v>
      </c>
      <c r="W430" s="28" t="s">
        <v>314</v>
      </c>
      <c r="X430" s="28" t="s">
        <v>160</v>
      </c>
      <c r="Y430" s="28" t="s">
        <v>887</v>
      </c>
      <c r="Z430" s="28" t="s">
        <v>1893</v>
      </c>
      <c r="AB430" s="28" t="s">
        <v>254</v>
      </c>
    </row>
    <row r="431" spans="4:30" x14ac:dyDescent="0.25">
      <c r="E431" s="28" t="s">
        <v>241</v>
      </c>
      <c r="G431" s="28" t="s">
        <v>267</v>
      </c>
      <c r="H431" s="28" t="s">
        <v>770</v>
      </c>
      <c r="I431" s="28" t="s">
        <v>821</v>
      </c>
      <c r="K431" s="28" t="s">
        <v>760</v>
      </c>
      <c r="L431" s="28" t="s">
        <v>842</v>
      </c>
      <c r="M431" s="28" t="s">
        <v>1129</v>
      </c>
      <c r="N431" s="28" t="s">
        <v>243</v>
      </c>
      <c r="O431" s="28" t="s">
        <v>244</v>
      </c>
      <c r="Q431" s="28" t="s">
        <v>686</v>
      </c>
      <c r="R431" s="28" t="s">
        <v>782</v>
      </c>
      <c r="Y431" s="28" t="s">
        <v>888</v>
      </c>
      <c r="AA431" s="28" t="s">
        <v>160</v>
      </c>
      <c r="AB431" s="28" t="s">
        <v>961</v>
      </c>
      <c r="AC431" s="28" t="s">
        <v>419</v>
      </c>
      <c r="AD431" s="28" t="s">
        <v>557</v>
      </c>
    </row>
    <row r="432" spans="4:30" x14ac:dyDescent="0.25">
      <c r="D432" s="28" t="s">
        <v>436</v>
      </c>
      <c r="F432" s="28" t="s">
        <v>265</v>
      </c>
      <c r="G432" s="28" t="s">
        <v>268</v>
      </c>
      <c r="J432" s="28" t="s">
        <v>984</v>
      </c>
      <c r="M432" s="28" t="s">
        <v>722</v>
      </c>
      <c r="P432" s="28" t="s">
        <v>786</v>
      </c>
      <c r="Q432" s="28" t="s">
        <v>687</v>
      </c>
      <c r="W432" s="28" t="s">
        <v>315</v>
      </c>
      <c r="X432" s="28" t="s">
        <v>1793</v>
      </c>
      <c r="Y432" s="28" t="s">
        <v>1876</v>
      </c>
      <c r="Z432" s="28" t="s">
        <v>160</v>
      </c>
      <c r="AC432" s="28" t="s">
        <v>160</v>
      </c>
    </row>
    <row r="433" spans="4:30" x14ac:dyDescent="0.25">
      <c r="D433" s="28" t="s">
        <v>437</v>
      </c>
      <c r="E433" s="28" t="s">
        <v>417</v>
      </c>
      <c r="F433" s="28" t="s">
        <v>266</v>
      </c>
      <c r="G433" s="28" t="s">
        <v>269</v>
      </c>
      <c r="H433" s="28" t="s">
        <v>771</v>
      </c>
      <c r="I433" s="28" t="s">
        <v>811</v>
      </c>
      <c r="K433" s="28" t="s">
        <v>1085</v>
      </c>
      <c r="L433" s="28" t="s">
        <v>843</v>
      </c>
      <c r="N433" s="28" t="s">
        <v>1209</v>
      </c>
      <c r="O433" s="28" t="s">
        <v>1283</v>
      </c>
      <c r="R433" s="28" t="s">
        <v>160</v>
      </c>
      <c r="AA433" s="28" t="s">
        <v>1947</v>
      </c>
      <c r="AB433" s="28" t="s">
        <v>244</v>
      </c>
      <c r="AD433" s="28" t="s">
        <v>1892</v>
      </c>
    </row>
    <row r="434" spans="4:30" x14ac:dyDescent="0.25">
      <c r="F434" s="28" t="s">
        <v>267</v>
      </c>
      <c r="G434" s="28" t="s">
        <v>270</v>
      </c>
      <c r="I434" s="28" t="s">
        <v>822</v>
      </c>
      <c r="J434" s="28" t="s">
        <v>160</v>
      </c>
      <c r="L434" s="28" t="s">
        <v>844</v>
      </c>
      <c r="M434" s="28" t="s">
        <v>285</v>
      </c>
      <c r="P434" s="28" t="s">
        <v>786</v>
      </c>
      <c r="Q434" s="28" t="s">
        <v>688</v>
      </c>
      <c r="W434" s="28" t="s">
        <v>1708</v>
      </c>
      <c r="X434" s="28" t="s">
        <v>1794</v>
      </c>
      <c r="Y434" s="28" t="s">
        <v>889</v>
      </c>
      <c r="Z434" s="28" t="s">
        <v>160</v>
      </c>
      <c r="AC434" s="28" t="s">
        <v>244</v>
      </c>
      <c r="AD434" s="28" t="s">
        <v>1882</v>
      </c>
    </row>
    <row r="435" spans="4:30" x14ac:dyDescent="0.25">
      <c r="D435" s="28" t="s">
        <v>438</v>
      </c>
      <c r="E435" s="28" t="s">
        <v>433</v>
      </c>
      <c r="F435" s="28" t="s">
        <v>268</v>
      </c>
      <c r="G435" s="28" t="s">
        <v>268</v>
      </c>
      <c r="H435" s="28" t="s">
        <v>772</v>
      </c>
      <c r="I435" s="28" t="s">
        <v>811</v>
      </c>
      <c r="J435" s="28" t="s">
        <v>160</v>
      </c>
      <c r="K435" s="28" t="s">
        <v>1085</v>
      </c>
      <c r="N435" s="28" t="s">
        <v>212</v>
      </c>
      <c r="O435" s="28" t="s">
        <v>420</v>
      </c>
      <c r="R435" s="28" t="s">
        <v>783</v>
      </c>
      <c r="AA435" s="28" t="s">
        <v>545</v>
      </c>
      <c r="AB435" s="28" t="s">
        <v>419</v>
      </c>
      <c r="AC435" s="28" t="s">
        <v>160</v>
      </c>
    </row>
    <row r="436" spans="4:30" x14ac:dyDescent="0.25">
      <c r="D436" s="28" t="s">
        <v>439</v>
      </c>
      <c r="F436" s="28" t="s">
        <v>269</v>
      </c>
      <c r="G436" s="28" t="s">
        <v>267</v>
      </c>
      <c r="H436" s="28" t="s">
        <v>773</v>
      </c>
      <c r="L436" s="28" t="s">
        <v>867</v>
      </c>
      <c r="M436" s="28" t="s">
        <v>1135</v>
      </c>
      <c r="P436" s="28" t="s">
        <v>786</v>
      </c>
      <c r="Q436" s="28" t="s">
        <v>198</v>
      </c>
      <c r="W436" s="28" t="s">
        <v>474</v>
      </c>
      <c r="X436" s="28" t="s">
        <v>1795</v>
      </c>
      <c r="Y436" s="28" t="s">
        <v>1876</v>
      </c>
      <c r="Z436" s="28" t="s">
        <v>160</v>
      </c>
      <c r="AA436" s="28" t="s">
        <v>422</v>
      </c>
      <c r="AD436" s="28" t="s">
        <v>1989</v>
      </c>
    </row>
    <row r="437" spans="4:30" x14ac:dyDescent="0.25">
      <c r="D437" s="28" t="s">
        <v>440</v>
      </c>
      <c r="E437" s="28" t="s">
        <v>243</v>
      </c>
      <c r="F437" s="28" t="s">
        <v>270</v>
      </c>
      <c r="G437" s="28" t="s">
        <v>269</v>
      </c>
      <c r="H437" s="28" t="s">
        <v>774</v>
      </c>
      <c r="I437" s="28" t="s">
        <v>911</v>
      </c>
      <c r="J437" s="28" t="s">
        <v>424</v>
      </c>
      <c r="K437" s="28" t="s">
        <v>969</v>
      </c>
      <c r="L437" s="28" t="s">
        <v>868</v>
      </c>
      <c r="N437" s="28" t="s">
        <v>243</v>
      </c>
      <c r="O437" s="28" t="s">
        <v>419</v>
      </c>
      <c r="R437" s="28" t="s">
        <v>243</v>
      </c>
      <c r="AA437" s="28" t="s">
        <v>212</v>
      </c>
      <c r="AB437" s="28" t="s">
        <v>433</v>
      </c>
      <c r="AC437" s="28" t="s">
        <v>212</v>
      </c>
    </row>
    <row r="438" spans="4:30" x14ac:dyDescent="0.25">
      <c r="F438" s="28" t="s">
        <v>268</v>
      </c>
      <c r="H438" s="28" t="s">
        <v>775</v>
      </c>
      <c r="M438" s="28" t="s">
        <v>684</v>
      </c>
      <c r="P438" s="28" t="s">
        <v>781</v>
      </c>
      <c r="Q438" s="28" t="s">
        <v>214</v>
      </c>
      <c r="W438" s="28" t="s">
        <v>322</v>
      </c>
      <c r="X438" s="28" t="s">
        <v>1796</v>
      </c>
      <c r="Y438" s="28" t="s">
        <v>967</v>
      </c>
      <c r="Z438" s="28" t="s">
        <v>160</v>
      </c>
      <c r="AD438" s="28" t="s">
        <v>1882</v>
      </c>
    </row>
    <row r="439" spans="4:30" x14ac:dyDescent="0.25">
      <c r="D439" s="28" t="s">
        <v>441</v>
      </c>
      <c r="E439" s="28" t="s">
        <v>285</v>
      </c>
      <c r="F439" s="28" t="s">
        <v>267</v>
      </c>
      <c r="G439" s="28" t="s">
        <v>271</v>
      </c>
      <c r="I439" s="28" t="s">
        <v>823</v>
      </c>
      <c r="J439" s="28" t="s">
        <v>988</v>
      </c>
      <c r="K439" s="28" t="s">
        <v>970</v>
      </c>
      <c r="L439" s="28" t="s">
        <v>845</v>
      </c>
      <c r="M439" s="28" t="s">
        <v>196</v>
      </c>
      <c r="N439" s="28" t="s">
        <v>661</v>
      </c>
      <c r="O439" s="28" t="s">
        <v>1301</v>
      </c>
      <c r="R439" s="28" t="s">
        <v>678</v>
      </c>
      <c r="X439" s="28" t="s">
        <v>1797</v>
      </c>
      <c r="AA439" s="28" t="s">
        <v>212</v>
      </c>
      <c r="AB439" s="28" t="s">
        <v>433</v>
      </c>
      <c r="AC439" s="28" t="s">
        <v>244</v>
      </c>
      <c r="AD439" s="28" t="s">
        <v>1989</v>
      </c>
    </row>
    <row r="440" spans="4:30" x14ac:dyDescent="0.25">
      <c r="F440" s="28" t="s">
        <v>269</v>
      </c>
      <c r="H440" s="28" t="s">
        <v>776</v>
      </c>
      <c r="I440" s="28" t="s">
        <v>809</v>
      </c>
      <c r="L440" s="28" t="s">
        <v>846</v>
      </c>
      <c r="N440" s="28" t="s">
        <v>212</v>
      </c>
      <c r="P440" s="28" t="s">
        <v>782</v>
      </c>
      <c r="Q440" s="28" t="s">
        <v>684</v>
      </c>
      <c r="W440" s="28" t="s">
        <v>1709</v>
      </c>
      <c r="Y440" s="28" t="s">
        <v>160</v>
      </c>
      <c r="Z440" s="28" t="s">
        <v>915</v>
      </c>
      <c r="AB440" s="28" t="s">
        <v>419</v>
      </c>
      <c r="AC440" s="28" t="s">
        <v>160</v>
      </c>
    </row>
    <row r="441" spans="4:30" x14ac:dyDescent="0.25">
      <c r="D441" s="28" t="s">
        <v>417</v>
      </c>
      <c r="E441" s="28" t="s">
        <v>545</v>
      </c>
      <c r="G441" s="28" t="s">
        <v>254</v>
      </c>
      <c r="H441" s="28" t="s">
        <v>777</v>
      </c>
      <c r="I441" s="28" t="s">
        <v>826</v>
      </c>
      <c r="J441" s="28" t="s">
        <v>987</v>
      </c>
      <c r="K441" s="28" t="s">
        <v>1058</v>
      </c>
      <c r="M441" s="28" t="s">
        <v>685</v>
      </c>
      <c r="O441" s="28" t="s">
        <v>285</v>
      </c>
      <c r="Q441" s="28" t="s">
        <v>196</v>
      </c>
      <c r="R441" s="28" t="s">
        <v>954</v>
      </c>
      <c r="X441" s="28" t="s">
        <v>449</v>
      </c>
      <c r="Z441" s="28" t="s">
        <v>705</v>
      </c>
      <c r="AA441" s="28" t="s">
        <v>160</v>
      </c>
      <c r="AB441" s="28" t="s">
        <v>244</v>
      </c>
      <c r="AD441" s="28" t="s">
        <v>1960</v>
      </c>
    </row>
    <row r="442" spans="4:30" x14ac:dyDescent="0.25">
      <c r="F442" s="28" t="s">
        <v>271</v>
      </c>
      <c r="H442" s="28" t="s">
        <v>778</v>
      </c>
      <c r="L442" s="28" t="s">
        <v>847</v>
      </c>
      <c r="N442" s="28" t="s">
        <v>243</v>
      </c>
      <c r="P442" s="28" t="s">
        <v>160</v>
      </c>
      <c r="W442" s="28" t="s">
        <v>303</v>
      </c>
      <c r="X442" s="28" t="s">
        <v>1262</v>
      </c>
      <c r="Y442" s="28" t="s">
        <v>1892</v>
      </c>
      <c r="Z442" s="28" t="s">
        <v>1900</v>
      </c>
      <c r="AC442" s="28" t="s">
        <v>419</v>
      </c>
    </row>
    <row r="443" spans="4:30" x14ac:dyDescent="0.25">
      <c r="D443" s="28" t="s">
        <v>442</v>
      </c>
      <c r="E443" s="28" t="s">
        <v>419</v>
      </c>
      <c r="G443" s="28" t="s">
        <v>272</v>
      </c>
      <c r="H443" s="28" t="s">
        <v>779</v>
      </c>
      <c r="I443" s="28" t="s">
        <v>827</v>
      </c>
      <c r="J443" s="28" t="s">
        <v>988</v>
      </c>
      <c r="K443" s="28" t="s">
        <v>275</v>
      </c>
      <c r="L443" s="28" t="s">
        <v>848</v>
      </c>
      <c r="M443" s="28" t="s">
        <v>283</v>
      </c>
      <c r="O443" s="28" t="s">
        <v>285</v>
      </c>
      <c r="Q443" s="28" t="s">
        <v>685</v>
      </c>
      <c r="R443" s="28" t="s">
        <v>1463</v>
      </c>
      <c r="X443" s="28" t="s">
        <v>212</v>
      </c>
      <c r="Y443" s="28" t="s">
        <v>1893</v>
      </c>
      <c r="AA443" s="28" t="s">
        <v>1892</v>
      </c>
      <c r="AB443" s="28" t="s">
        <v>244</v>
      </c>
      <c r="AC443" s="28" t="s">
        <v>160</v>
      </c>
      <c r="AD443" s="28" t="s">
        <v>1894</v>
      </c>
    </row>
    <row r="444" spans="4:30" x14ac:dyDescent="0.25">
      <c r="E444" s="28" t="s">
        <v>160</v>
      </c>
      <c r="F444" s="28" t="s">
        <v>254</v>
      </c>
      <c r="G444" s="28" t="s">
        <v>273</v>
      </c>
      <c r="I444" s="28" t="s">
        <v>823</v>
      </c>
      <c r="N444" s="28" t="s">
        <v>1210</v>
      </c>
      <c r="P444" s="28" t="s">
        <v>783</v>
      </c>
      <c r="W444" s="28" t="s">
        <v>1710</v>
      </c>
      <c r="Z444" s="28" t="s">
        <v>1891</v>
      </c>
      <c r="AA444" s="28" t="s">
        <v>1882</v>
      </c>
      <c r="AD444" s="28" t="s">
        <v>1882</v>
      </c>
    </row>
    <row r="445" spans="4:30" x14ac:dyDescent="0.25">
      <c r="D445" s="28" t="s">
        <v>443</v>
      </c>
      <c r="G445" s="28" t="s">
        <v>274</v>
      </c>
      <c r="H445" s="28" t="s">
        <v>780</v>
      </c>
      <c r="I445" s="28" t="s">
        <v>809</v>
      </c>
      <c r="J445" s="28" t="s">
        <v>419</v>
      </c>
      <c r="K445" s="28" t="s">
        <v>764</v>
      </c>
      <c r="L445" s="28" t="s">
        <v>849</v>
      </c>
      <c r="M445" s="28" t="s">
        <v>689</v>
      </c>
      <c r="O445" s="28" t="s">
        <v>424</v>
      </c>
      <c r="Q445" s="28" t="s">
        <v>283</v>
      </c>
      <c r="R445" s="28" t="s">
        <v>597</v>
      </c>
      <c r="X445" s="28" t="s">
        <v>562</v>
      </c>
      <c r="Y445" s="28" t="s">
        <v>433</v>
      </c>
      <c r="AA445" s="28" t="s">
        <v>1948</v>
      </c>
      <c r="AB445" s="28" t="s">
        <v>419</v>
      </c>
      <c r="AC445" s="28" t="s">
        <v>1462</v>
      </c>
    </row>
    <row r="446" spans="4:30" x14ac:dyDescent="0.25">
      <c r="E446" s="28" t="s">
        <v>160</v>
      </c>
      <c r="F446" s="28" t="s">
        <v>272</v>
      </c>
      <c r="G446" s="28" t="s">
        <v>266</v>
      </c>
      <c r="I446" s="28" t="s">
        <v>976</v>
      </c>
      <c r="J446" s="28" t="s">
        <v>422</v>
      </c>
      <c r="L446" s="28" t="s">
        <v>850</v>
      </c>
      <c r="N446" s="28" t="s">
        <v>420</v>
      </c>
      <c r="O446" s="28" t="s">
        <v>160</v>
      </c>
      <c r="P446" s="28" t="s">
        <v>244</v>
      </c>
      <c r="W446" s="28" t="s">
        <v>241</v>
      </c>
      <c r="Z446" s="28" t="s">
        <v>880</v>
      </c>
      <c r="AD446" s="28" t="s">
        <v>1990</v>
      </c>
    </row>
    <row r="447" spans="4:30" x14ac:dyDescent="0.25">
      <c r="D447" s="28" t="s">
        <v>241</v>
      </c>
      <c r="F447" s="28" t="s">
        <v>273</v>
      </c>
      <c r="G447" s="28" t="s">
        <v>275</v>
      </c>
      <c r="H447" s="28" t="s">
        <v>780</v>
      </c>
      <c r="I447" s="28" t="s">
        <v>909</v>
      </c>
      <c r="J447" s="28" t="s">
        <v>160</v>
      </c>
      <c r="K447" s="28" t="s">
        <v>765</v>
      </c>
      <c r="M447" s="28" t="s">
        <v>690</v>
      </c>
      <c r="N447" s="28" t="s">
        <v>420</v>
      </c>
      <c r="Q447" s="28" t="s">
        <v>689</v>
      </c>
      <c r="R447" s="28" t="s">
        <v>1500</v>
      </c>
      <c r="W447" s="28" t="s">
        <v>433</v>
      </c>
      <c r="X447" s="28" t="s">
        <v>1798</v>
      </c>
      <c r="Y447" s="28" t="s">
        <v>243</v>
      </c>
      <c r="Z447" s="28" t="s">
        <v>881</v>
      </c>
      <c r="AA447" s="28" t="s">
        <v>243</v>
      </c>
      <c r="AB447" s="28" t="s">
        <v>433</v>
      </c>
      <c r="AC447" s="28" t="s">
        <v>160</v>
      </c>
    </row>
    <row r="448" spans="4:30" x14ac:dyDescent="0.25">
      <c r="E448" s="28" t="s">
        <v>160</v>
      </c>
      <c r="F448" s="28" t="s">
        <v>274</v>
      </c>
      <c r="J448" s="28" t="s">
        <v>160</v>
      </c>
      <c r="L448" s="28" t="s">
        <v>830</v>
      </c>
      <c r="M448" s="28" t="s">
        <v>691</v>
      </c>
      <c r="O448" s="28" t="s">
        <v>1281</v>
      </c>
      <c r="P448" s="28" t="s">
        <v>73</v>
      </c>
      <c r="Z448" s="28" t="s">
        <v>882</v>
      </c>
      <c r="AA448" s="28" t="s">
        <v>160</v>
      </c>
      <c r="AD448" s="28" t="s">
        <v>1991</v>
      </c>
    </row>
    <row r="449" spans="4:30" x14ac:dyDescent="0.25">
      <c r="D449" s="28" t="s">
        <v>373</v>
      </c>
      <c r="E449" s="28" t="s">
        <v>212</v>
      </c>
      <c r="F449" s="28" t="s">
        <v>266</v>
      </c>
      <c r="G449" s="28" t="s">
        <v>276</v>
      </c>
      <c r="H449" s="28" t="s">
        <v>780</v>
      </c>
      <c r="I449" s="28" t="s">
        <v>810</v>
      </c>
      <c r="K449" s="28" t="s">
        <v>363</v>
      </c>
      <c r="L449" s="28" t="s">
        <v>831</v>
      </c>
      <c r="N449" s="28" t="s">
        <v>1170</v>
      </c>
      <c r="P449" s="28" t="s">
        <v>43</v>
      </c>
      <c r="Q449" s="28" t="s">
        <v>690</v>
      </c>
      <c r="R449" s="28" t="s">
        <v>442</v>
      </c>
      <c r="W449" s="28" t="s">
        <v>243</v>
      </c>
      <c r="X449" s="28" t="s">
        <v>1799</v>
      </c>
      <c r="Y449" s="28" t="s">
        <v>285</v>
      </c>
      <c r="AA449" s="28" t="s">
        <v>160</v>
      </c>
      <c r="AB449" s="28" t="s">
        <v>160</v>
      </c>
      <c r="AC449" s="28" t="s">
        <v>557</v>
      </c>
      <c r="AD449" s="28" t="s">
        <v>1991</v>
      </c>
    </row>
    <row r="450" spans="4:30" x14ac:dyDescent="0.25">
      <c r="F450" s="28" t="s">
        <v>275</v>
      </c>
      <c r="I450" s="28" t="s">
        <v>818</v>
      </c>
      <c r="J450" s="28" t="s">
        <v>422</v>
      </c>
      <c r="M450" s="28" t="s">
        <v>703</v>
      </c>
      <c r="O450" s="28" t="s">
        <v>285</v>
      </c>
      <c r="Q450" s="28" t="s">
        <v>691</v>
      </c>
      <c r="R450" s="28" t="s">
        <v>212</v>
      </c>
      <c r="Z450" s="28" t="s">
        <v>883</v>
      </c>
      <c r="AA450" s="28" t="s">
        <v>254</v>
      </c>
      <c r="AD450" s="28" t="s">
        <v>1992</v>
      </c>
    </row>
    <row r="451" spans="4:30" x14ac:dyDescent="0.25">
      <c r="D451" s="28" t="s">
        <v>419</v>
      </c>
      <c r="E451" s="28" t="s">
        <v>508</v>
      </c>
      <c r="G451" s="28" t="s">
        <v>277</v>
      </c>
      <c r="H451" s="28" t="s">
        <v>781</v>
      </c>
      <c r="J451" s="28" t="s">
        <v>424</v>
      </c>
      <c r="K451" s="28" t="s">
        <v>82</v>
      </c>
      <c r="L451" s="28" t="s">
        <v>832</v>
      </c>
      <c r="M451" s="28" t="s">
        <v>368</v>
      </c>
      <c r="N451" s="28" t="s">
        <v>1171</v>
      </c>
      <c r="P451" s="28" t="s">
        <v>784</v>
      </c>
      <c r="W451" s="28" t="s">
        <v>285</v>
      </c>
      <c r="X451" s="28" t="s">
        <v>1800</v>
      </c>
      <c r="Y451" s="28" t="s">
        <v>1894</v>
      </c>
      <c r="AA451" s="28" t="s">
        <v>961</v>
      </c>
      <c r="AB451" s="28" t="s">
        <v>160</v>
      </c>
      <c r="AC451" s="28" t="s">
        <v>1979</v>
      </c>
      <c r="AD451" s="28" t="s">
        <v>1992</v>
      </c>
    </row>
    <row r="452" spans="4:30" x14ac:dyDescent="0.25">
      <c r="D452" s="28" t="s">
        <v>160</v>
      </c>
      <c r="F452" s="28" t="s">
        <v>445</v>
      </c>
      <c r="G452" s="28" t="s">
        <v>399</v>
      </c>
      <c r="I452" s="28" t="s">
        <v>265</v>
      </c>
      <c r="J452" s="28" t="s">
        <v>160</v>
      </c>
      <c r="L452" s="28" t="s">
        <v>833</v>
      </c>
      <c r="O452" s="28" t="s">
        <v>1302</v>
      </c>
      <c r="P452" s="28" t="s">
        <v>785</v>
      </c>
      <c r="Q452" s="28" t="s">
        <v>692</v>
      </c>
      <c r="R452" s="28" t="s">
        <v>1462</v>
      </c>
      <c r="Y452" s="28" t="s">
        <v>1893</v>
      </c>
      <c r="Z452" s="28" t="s">
        <v>884</v>
      </c>
      <c r="AC452" s="28" t="s">
        <v>1980</v>
      </c>
      <c r="AD452" s="28" t="s">
        <v>1993</v>
      </c>
    </row>
    <row r="453" spans="4:30" x14ac:dyDescent="0.25">
      <c r="E453" s="28" t="s">
        <v>481</v>
      </c>
      <c r="G453" s="28" t="s">
        <v>429</v>
      </c>
      <c r="H453" s="28" t="s">
        <v>782</v>
      </c>
      <c r="I453" s="28" t="s">
        <v>266</v>
      </c>
      <c r="J453" s="28" t="s">
        <v>160</v>
      </c>
      <c r="K453" s="28" t="s">
        <v>766</v>
      </c>
      <c r="M453" s="28" t="s">
        <v>1128</v>
      </c>
      <c r="N453" s="28" t="s">
        <v>243</v>
      </c>
      <c r="Q453" s="28" t="s">
        <v>693</v>
      </c>
      <c r="W453" s="28" t="s">
        <v>1678</v>
      </c>
      <c r="X453" s="28" t="s">
        <v>1801</v>
      </c>
      <c r="AA453" s="28" t="s">
        <v>1894</v>
      </c>
      <c r="AB453" s="28" t="s">
        <v>160</v>
      </c>
      <c r="AD453" s="28" t="s">
        <v>1993</v>
      </c>
    </row>
    <row r="454" spans="4:30" x14ac:dyDescent="0.25">
      <c r="D454" s="28" t="s">
        <v>160</v>
      </c>
      <c r="F454" s="28" t="s">
        <v>390</v>
      </c>
      <c r="G454" s="28" t="s">
        <v>609</v>
      </c>
      <c r="I454" s="28" t="s">
        <v>267</v>
      </c>
      <c r="L454" s="28" t="s">
        <v>834</v>
      </c>
      <c r="O454" s="28" t="s">
        <v>1303</v>
      </c>
      <c r="P454" s="28" t="s">
        <v>786</v>
      </c>
      <c r="R454" s="28" t="s">
        <v>1471</v>
      </c>
      <c r="Y454" s="28" t="s">
        <v>442</v>
      </c>
      <c r="Z454" s="28" t="s">
        <v>885</v>
      </c>
      <c r="AA454" s="28" t="s">
        <v>1882</v>
      </c>
      <c r="AC454" s="28" t="s">
        <v>1981</v>
      </c>
    </row>
    <row r="455" spans="4:30" x14ac:dyDescent="0.25">
      <c r="E455" s="28" t="s">
        <v>480</v>
      </c>
      <c r="H455" s="28" t="s">
        <v>160</v>
      </c>
      <c r="I455" s="28" t="s">
        <v>268</v>
      </c>
      <c r="J455" s="28" t="s">
        <v>762</v>
      </c>
      <c r="K455" s="28" t="s">
        <v>767</v>
      </c>
      <c r="L455" s="28" t="s">
        <v>835</v>
      </c>
      <c r="M455" s="28" t="s">
        <v>704</v>
      </c>
      <c r="N455" s="28" t="s">
        <v>1174</v>
      </c>
      <c r="P455" s="28" t="s">
        <v>1367</v>
      </c>
      <c r="Q455" s="28" t="s">
        <v>694</v>
      </c>
      <c r="W455" s="28" t="s">
        <v>420</v>
      </c>
      <c r="X455" s="28" t="s">
        <v>1802</v>
      </c>
      <c r="AA455" s="28" t="s">
        <v>1948</v>
      </c>
      <c r="AB455" s="28" t="s">
        <v>160</v>
      </c>
      <c r="AD455" s="28" t="s">
        <v>1991</v>
      </c>
    </row>
    <row r="456" spans="4:30" x14ac:dyDescent="0.25">
      <c r="D456" s="28" t="s">
        <v>422</v>
      </c>
      <c r="F456" s="28" t="s">
        <v>585</v>
      </c>
      <c r="G456" s="28" t="s">
        <v>280</v>
      </c>
      <c r="J456" s="28" t="s">
        <v>763</v>
      </c>
      <c r="M456" s="28" t="s">
        <v>705</v>
      </c>
      <c r="O456" s="28" t="s">
        <v>243</v>
      </c>
      <c r="Q456" s="28" t="s">
        <v>695</v>
      </c>
      <c r="R456" s="28" t="s">
        <v>1476</v>
      </c>
      <c r="Y456" s="28" t="s">
        <v>160</v>
      </c>
      <c r="Z456" s="28" t="s">
        <v>687</v>
      </c>
      <c r="AC456" s="28" t="s">
        <v>1982</v>
      </c>
      <c r="AD456" s="28" t="s">
        <v>1991</v>
      </c>
    </row>
    <row r="457" spans="4:30" x14ac:dyDescent="0.25">
      <c r="E457" s="28" t="s">
        <v>546</v>
      </c>
      <c r="G457" s="28" t="s">
        <v>430</v>
      </c>
      <c r="H457" s="28" t="s">
        <v>783</v>
      </c>
      <c r="I457" s="28" t="s">
        <v>269</v>
      </c>
      <c r="K457" s="28" t="s">
        <v>768</v>
      </c>
      <c r="L457" s="28" t="s">
        <v>837</v>
      </c>
      <c r="N457" s="28" t="s">
        <v>1169</v>
      </c>
      <c r="P457" s="28" t="s">
        <v>787</v>
      </c>
      <c r="W457" s="28" t="s">
        <v>420</v>
      </c>
      <c r="X457" s="28" t="s">
        <v>1803</v>
      </c>
      <c r="Z457" s="28" t="s">
        <v>1901</v>
      </c>
      <c r="AA457" s="28" t="s">
        <v>243</v>
      </c>
      <c r="AB457" s="28" t="s">
        <v>1882</v>
      </c>
      <c r="AD457" s="28" t="s">
        <v>1992</v>
      </c>
    </row>
    <row r="458" spans="4:30" x14ac:dyDescent="0.25">
      <c r="D458" s="28" t="s">
        <v>160</v>
      </c>
      <c r="E458" s="28" t="s">
        <v>390</v>
      </c>
      <c r="F458" s="28" t="s">
        <v>447</v>
      </c>
      <c r="G458" s="28" t="s">
        <v>280</v>
      </c>
      <c r="I458" s="28" t="s">
        <v>270</v>
      </c>
      <c r="J458" s="28" t="s">
        <v>996</v>
      </c>
      <c r="M458" s="28" t="s">
        <v>1135</v>
      </c>
      <c r="O458" s="28" t="s">
        <v>243</v>
      </c>
      <c r="Q458" s="28" t="s">
        <v>692</v>
      </c>
      <c r="R458" s="28" t="s">
        <v>243</v>
      </c>
      <c r="Y458" s="28" t="s">
        <v>212</v>
      </c>
      <c r="AA458" s="28" t="s">
        <v>160</v>
      </c>
      <c r="AC458" s="28" t="s">
        <v>243</v>
      </c>
      <c r="AD458" s="28" t="s">
        <v>1992</v>
      </c>
    </row>
    <row r="459" spans="4:30" x14ac:dyDescent="0.25">
      <c r="G459" s="28" t="s">
        <v>618</v>
      </c>
      <c r="H459" s="28" t="s">
        <v>420</v>
      </c>
      <c r="I459" s="28" t="s">
        <v>268</v>
      </c>
      <c r="K459" s="28" t="s">
        <v>674</v>
      </c>
      <c r="L459" s="28" t="s">
        <v>838</v>
      </c>
      <c r="M459" s="28" t="s">
        <v>1131</v>
      </c>
      <c r="N459" s="28" t="s">
        <v>989</v>
      </c>
      <c r="P459" s="28" t="s">
        <v>1368</v>
      </c>
      <c r="Q459" s="28" t="s">
        <v>696</v>
      </c>
      <c r="R459" s="28" t="s">
        <v>424</v>
      </c>
      <c r="W459" s="28" t="s">
        <v>160</v>
      </c>
      <c r="X459" s="28" t="s">
        <v>1804</v>
      </c>
      <c r="Y459" s="28" t="s">
        <v>285</v>
      </c>
      <c r="Z459" s="28" t="s">
        <v>887</v>
      </c>
      <c r="AA459" s="28" t="s">
        <v>160</v>
      </c>
      <c r="AB459" s="28" t="s">
        <v>244</v>
      </c>
      <c r="AD459" s="28" t="s">
        <v>1993</v>
      </c>
    </row>
    <row r="460" spans="4:30" x14ac:dyDescent="0.25">
      <c r="D460" s="28" t="s">
        <v>419</v>
      </c>
      <c r="E460" s="28" t="s">
        <v>479</v>
      </c>
      <c r="F460" s="28" t="s">
        <v>448</v>
      </c>
      <c r="I460" s="28" t="s">
        <v>267</v>
      </c>
      <c r="J460" s="28" t="s">
        <v>275</v>
      </c>
      <c r="M460" s="28" t="s">
        <v>1137</v>
      </c>
      <c r="N460" s="28" t="s">
        <v>1006</v>
      </c>
      <c r="O460" s="28" t="s">
        <v>1304</v>
      </c>
      <c r="P460" s="28" t="s">
        <v>1368</v>
      </c>
      <c r="X460" s="28" t="s">
        <v>1805</v>
      </c>
      <c r="Y460" s="28" t="s">
        <v>212</v>
      </c>
      <c r="Z460" s="28" t="s">
        <v>888</v>
      </c>
      <c r="AA460" s="28" t="s">
        <v>254</v>
      </c>
      <c r="AC460" s="28" t="s">
        <v>243</v>
      </c>
      <c r="AD460" s="28" t="s">
        <v>1993</v>
      </c>
    </row>
    <row r="461" spans="4:30" x14ac:dyDescent="0.25">
      <c r="D461" s="28" t="s">
        <v>160</v>
      </c>
      <c r="G461" s="28" t="s">
        <v>283</v>
      </c>
      <c r="H461" s="28" t="s">
        <v>73</v>
      </c>
      <c r="I461" s="28" t="s">
        <v>269</v>
      </c>
      <c r="K461" s="28" t="s">
        <v>769</v>
      </c>
      <c r="L461" s="28" t="s">
        <v>836</v>
      </c>
      <c r="M461" s="28" t="s">
        <v>1129</v>
      </c>
      <c r="Q461" s="28" t="s">
        <v>694</v>
      </c>
      <c r="R461" s="28" t="s">
        <v>419</v>
      </c>
      <c r="W461" s="28" t="s">
        <v>245</v>
      </c>
      <c r="Z461" s="28" t="s">
        <v>1903</v>
      </c>
      <c r="AA461" s="28" t="s">
        <v>961</v>
      </c>
      <c r="AB461" s="28" t="s">
        <v>212</v>
      </c>
    </row>
    <row r="462" spans="4:30" x14ac:dyDescent="0.25">
      <c r="E462" s="28" t="s">
        <v>547</v>
      </c>
      <c r="F462" s="28" t="s">
        <v>601</v>
      </c>
      <c r="H462" s="28" t="s">
        <v>43</v>
      </c>
      <c r="I462" s="28" t="s">
        <v>265</v>
      </c>
      <c r="J462" s="28" t="s">
        <v>764</v>
      </c>
      <c r="N462" s="28" t="s">
        <v>1207</v>
      </c>
      <c r="O462" s="28" t="s">
        <v>424</v>
      </c>
      <c r="P462" s="28" t="s">
        <v>789</v>
      </c>
      <c r="Q462" s="28" t="s">
        <v>697</v>
      </c>
      <c r="R462" s="28" t="s">
        <v>160</v>
      </c>
      <c r="W462" s="28" t="s">
        <v>246</v>
      </c>
      <c r="X462" s="28" t="s">
        <v>1806</v>
      </c>
      <c r="Y462" s="28" t="s">
        <v>160</v>
      </c>
      <c r="AC462" s="28" t="s">
        <v>557</v>
      </c>
      <c r="AD462" s="28" t="s">
        <v>915</v>
      </c>
    </row>
    <row r="463" spans="4:30" x14ac:dyDescent="0.25">
      <c r="D463" s="28" t="s">
        <v>434</v>
      </c>
      <c r="F463" s="28" t="s">
        <v>602</v>
      </c>
      <c r="G463" s="28" t="s">
        <v>283</v>
      </c>
      <c r="I463" s="28" t="s">
        <v>254</v>
      </c>
      <c r="K463" s="28" t="s">
        <v>770</v>
      </c>
      <c r="L463" s="28" t="s">
        <v>861</v>
      </c>
      <c r="M463" s="28" t="s">
        <v>706</v>
      </c>
      <c r="O463" s="28" t="s">
        <v>243</v>
      </c>
      <c r="R463" s="28" t="s">
        <v>160</v>
      </c>
      <c r="W463" s="28" t="s">
        <v>247</v>
      </c>
      <c r="X463" s="28" t="s">
        <v>1807</v>
      </c>
      <c r="Z463" s="28" t="s">
        <v>889</v>
      </c>
      <c r="AA463" s="28" t="s">
        <v>433</v>
      </c>
      <c r="AB463" s="28" t="s">
        <v>545</v>
      </c>
      <c r="AD463" s="28" t="s">
        <v>705</v>
      </c>
    </row>
    <row r="464" spans="4:30" x14ac:dyDescent="0.25">
      <c r="E464" s="28" t="s">
        <v>215</v>
      </c>
      <c r="H464" s="28" t="s">
        <v>784</v>
      </c>
      <c r="J464" s="28" t="s">
        <v>765</v>
      </c>
      <c r="K464" s="28" t="s">
        <v>1086</v>
      </c>
      <c r="M464" s="28" t="s">
        <v>707</v>
      </c>
      <c r="N464" s="28" t="s">
        <v>1173</v>
      </c>
      <c r="O464" s="28" t="s">
        <v>424</v>
      </c>
      <c r="P464" s="28" t="s">
        <v>777</v>
      </c>
      <c r="Q464" s="28" t="s">
        <v>692</v>
      </c>
      <c r="W464" s="28" t="s">
        <v>248</v>
      </c>
      <c r="Y464" s="28" t="s">
        <v>160</v>
      </c>
      <c r="Z464" s="28" t="s">
        <v>1903</v>
      </c>
      <c r="AA464" s="28" t="s">
        <v>419</v>
      </c>
      <c r="AB464" s="28" t="s">
        <v>422</v>
      </c>
      <c r="AC464" s="28" t="s">
        <v>809</v>
      </c>
      <c r="AD464" s="28" t="s">
        <v>1958</v>
      </c>
    </row>
    <row r="465" spans="4:30" x14ac:dyDescent="0.25">
      <c r="D465" s="28" t="s">
        <v>419</v>
      </c>
      <c r="F465" s="28" t="s">
        <v>449</v>
      </c>
      <c r="G465" s="28" t="s">
        <v>160</v>
      </c>
      <c r="H465" s="28" t="s">
        <v>785</v>
      </c>
      <c r="I465" s="28" t="s">
        <v>271</v>
      </c>
      <c r="L465" s="28" t="s">
        <v>839</v>
      </c>
      <c r="M465" s="28" t="s">
        <v>708</v>
      </c>
      <c r="O465" s="28" t="s">
        <v>160</v>
      </c>
      <c r="P465" s="28" t="s">
        <v>777</v>
      </c>
      <c r="Q465" s="28" t="s">
        <v>698</v>
      </c>
      <c r="R465" s="28" t="s">
        <v>422</v>
      </c>
      <c r="W465" s="28" t="s">
        <v>245</v>
      </c>
      <c r="X465" s="28" t="s">
        <v>275</v>
      </c>
      <c r="AA465" s="28" t="s">
        <v>244</v>
      </c>
      <c r="AB465" s="28" t="s">
        <v>212</v>
      </c>
      <c r="AC465" s="28" t="s">
        <v>810</v>
      </c>
    </row>
    <row r="466" spans="4:30" x14ac:dyDescent="0.25">
      <c r="D466" s="28" t="s">
        <v>212</v>
      </c>
      <c r="E466" s="28" t="s">
        <v>548</v>
      </c>
      <c r="J466" s="28" t="s">
        <v>363</v>
      </c>
      <c r="K466" s="28" t="s">
        <v>772</v>
      </c>
      <c r="L466" s="28" t="s">
        <v>840</v>
      </c>
      <c r="M466" s="28" t="s">
        <v>709</v>
      </c>
      <c r="N466" s="28" t="s">
        <v>1172</v>
      </c>
      <c r="Q466" s="28" t="s">
        <v>699</v>
      </c>
      <c r="R466" s="28" t="s">
        <v>419</v>
      </c>
      <c r="W466" s="28" t="s">
        <v>249</v>
      </c>
      <c r="Y466" s="28" t="s">
        <v>160</v>
      </c>
      <c r="Z466" s="28" t="s">
        <v>886</v>
      </c>
      <c r="AC466" s="28" t="s">
        <v>811</v>
      </c>
      <c r="AD466" s="28" t="s">
        <v>1891</v>
      </c>
    </row>
    <row r="467" spans="4:30" x14ac:dyDescent="0.25">
      <c r="F467" s="28" t="s">
        <v>450</v>
      </c>
      <c r="G467" s="28" t="s">
        <v>160</v>
      </c>
      <c r="H467" s="28" t="s">
        <v>780</v>
      </c>
      <c r="I467" s="28" t="s">
        <v>273</v>
      </c>
      <c r="K467" s="28" t="s">
        <v>773</v>
      </c>
      <c r="O467" s="28" t="s">
        <v>419</v>
      </c>
      <c r="P467" s="28" t="s">
        <v>790</v>
      </c>
      <c r="Q467" s="28" t="s">
        <v>700</v>
      </c>
      <c r="R467" s="28" t="s">
        <v>160</v>
      </c>
      <c r="W467" s="28" t="s">
        <v>247</v>
      </c>
      <c r="X467" s="28" t="s">
        <v>764</v>
      </c>
      <c r="AA467" s="28" t="s">
        <v>244</v>
      </c>
      <c r="AB467" s="28" t="s">
        <v>212</v>
      </c>
      <c r="AC467" s="28" t="s">
        <v>812</v>
      </c>
    </row>
    <row r="468" spans="4:30" x14ac:dyDescent="0.25">
      <c r="D468" s="28" t="s">
        <v>444</v>
      </c>
      <c r="E468" s="28" t="s">
        <v>420</v>
      </c>
      <c r="H468" s="28" t="s">
        <v>786</v>
      </c>
      <c r="I468" s="28" t="s">
        <v>274</v>
      </c>
      <c r="J468" s="28" t="s">
        <v>82</v>
      </c>
      <c r="K468" s="28" t="s">
        <v>774</v>
      </c>
      <c r="L468" s="28" t="s">
        <v>841</v>
      </c>
      <c r="M468" s="28" t="s">
        <v>160</v>
      </c>
      <c r="N468" s="28" t="s">
        <v>661</v>
      </c>
      <c r="O468" s="28" t="s">
        <v>285</v>
      </c>
      <c r="P468" s="28" t="s">
        <v>791</v>
      </c>
      <c r="W468" s="28" t="s">
        <v>250</v>
      </c>
      <c r="Y468" s="28" t="s">
        <v>891</v>
      </c>
      <c r="Z468" s="28" t="s">
        <v>205</v>
      </c>
      <c r="AC468" s="28" t="s">
        <v>809</v>
      </c>
      <c r="AD468" s="28" t="s">
        <v>880</v>
      </c>
    </row>
    <row r="469" spans="4:30" x14ac:dyDescent="0.25">
      <c r="F469" s="28" t="s">
        <v>451</v>
      </c>
      <c r="G469" s="28" t="s">
        <v>447</v>
      </c>
      <c r="I469" s="28" t="s">
        <v>266</v>
      </c>
      <c r="K469" s="28" t="s">
        <v>775</v>
      </c>
      <c r="L469" s="28" t="s">
        <v>842</v>
      </c>
      <c r="M469" s="28" t="s">
        <v>160</v>
      </c>
      <c r="N469" s="28" t="s">
        <v>212</v>
      </c>
      <c r="O469" s="28" t="s">
        <v>545</v>
      </c>
      <c r="Q469" s="28" t="s">
        <v>701</v>
      </c>
      <c r="R469" s="28" t="s">
        <v>1472</v>
      </c>
      <c r="W469" s="28" t="s">
        <v>251</v>
      </c>
      <c r="X469" s="28" t="s">
        <v>765</v>
      </c>
      <c r="Y469" s="28" t="s">
        <v>892</v>
      </c>
      <c r="AA469" s="28" t="s">
        <v>419</v>
      </c>
      <c r="AB469" s="28" t="s">
        <v>433</v>
      </c>
      <c r="AC469" s="28" t="s">
        <v>813</v>
      </c>
      <c r="AD469" s="28" t="s">
        <v>881</v>
      </c>
    </row>
    <row r="470" spans="4:30" x14ac:dyDescent="0.25">
      <c r="D470" s="28" t="s">
        <v>417</v>
      </c>
      <c r="E470" s="28" t="s">
        <v>548</v>
      </c>
      <c r="H470" s="28" t="s">
        <v>787</v>
      </c>
      <c r="I470" s="28" t="s">
        <v>275</v>
      </c>
      <c r="J470" s="28" t="s">
        <v>766</v>
      </c>
      <c r="M470" s="28" t="s">
        <v>160</v>
      </c>
      <c r="O470" s="28" t="s">
        <v>160</v>
      </c>
      <c r="P470" s="28" t="s">
        <v>792</v>
      </c>
      <c r="W470" s="28" t="s">
        <v>245</v>
      </c>
      <c r="Z470" s="28" t="s">
        <v>160</v>
      </c>
      <c r="AB470" s="28" t="s">
        <v>419</v>
      </c>
      <c r="AC470" s="28" t="s">
        <v>811</v>
      </c>
      <c r="AD470" s="28" t="s">
        <v>882</v>
      </c>
    </row>
    <row r="471" spans="4:30" x14ac:dyDescent="0.25">
      <c r="F471" s="28" t="s">
        <v>452</v>
      </c>
      <c r="G471" s="28" t="s">
        <v>448</v>
      </c>
      <c r="K471" s="28" t="s">
        <v>776</v>
      </c>
      <c r="L471" s="28" t="s">
        <v>843</v>
      </c>
      <c r="M471" s="28" t="s">
        <v>160</v>
      </c>
      <c r="N471" s="28" t="s">
        <v>441</v>
      </c>
      <c r="P471" s="28" t="s">
        <v>792</v>
      </c>
      <c r="Q471" s="28" t="s">
        <v>702</v>
      </c>
      <c r="R471" s="28" t="s">
        <v>1475</v>
      </c>
      <c r="W471" s="28" t="s">
        <v>252</v>
      </c>
      <c r="X471" s="28" t="s">
        <v>363</v>
      </c>
      <c r="Y471" s="28" t="s">
        <v>779</v>
      </c>
      <c r="Z471" s="28" t="s">
        <v>1894</v>
      </c>
      <c r="AA471" s="28" t="s">
        <v>433</v>
      </c>
      <c r="AB471" s="28" t="s">
        <v>244</v>
      </c>
      <c r="AC471" s="28" t="s">
        <v>814</v>
      </c>
    </row>
    <row r="472" spans="4:30" x14ac:dyDescent="0.25">
      <c r="D472" s="28" t="s">
        <v>160</v>
      </c>
      <c r="E472" s="28" t="s">
        <v>215</v>
      </c>
      <c r="H472" s="28" t="s">
        <v>788</v>
      </c>
      <c r="I472" s="28" t="s">
        <v>849</v>
      </c>
      <c r="J472" s="28" t="s">
        <v>767</v>
      </c>
      <c r="K472" s="28" t="s">
        <v>777</v>
      </c>
      <c r="L472" s="28" t="s">
        <v>844</v>
      </c>
      <c r="O472" s="28" t="s">
        <v>1285</v>
      </c>
      <c r="Y472" s="28" t="s">
        <v>778</v>
      </c>
      <c r="Z472" s="28" t="s">
        <v>1893</v>
      </c>
      <c r="AC472" s="28" t="s">
        <v>815</v>
      </c>
      <c r="AD472" s="28" t="s">
        <v>883</v>
      </c>
    </row>
    <row r="473" spans="4:30" x14ac:dyDescent="0.25">
      <c r="F473" s="28" t="s">
        <v>453</v>
      </c>
      <c r="G473" s="28" t="s">
        <v>449</v>
      </c>
      <c r="H473" s="28" t="s">
        <v>788</v>
      </c>
      <c r="I473" s="28" t="s">
        <v>850</v>
      </c>
      <c r="K473" s="28" t="s">
        <v>778</v>
      </c>
      <c r="M473" s="28" t="s">
        <v>686</v>
      </c>
      <c r="N473" s="28" t="s">
        <v>1211</v>
      </c>
      <c r="P473" s="28" t="s">
        <v>779</v>
      </c>
      <c r="Q473" s="28" t="s">
        <v>1431</v>
      </c>
      <c r="R473" s="28" t="s">
        <v>1478</v>
      </c>
      <c r="W473" s="28" t="s">
        <v>253</v>
      </c>
      <c r="X473" s="28" t="s">
        <v>1808</v>
      </c>
      <c r="AA473" s="28" t="s">
        <v>433</v>
      </c>
      <c r="AB473" s="28" t="s">
        <v>160</v>
      </c>
      <c r="AC473" s="28" t="s">
        <v>809</v>
      </c>
    </row>
    <row r="474" spans="4:30" x14ac:dyDescent="0.25">
      <c r="D474" s="28" t="s">
        <v>435</v>
      </c>
      <c r="E474" s="28" t="s">
        <v>547</v>
      </c>
      <c r="J474" s="28" t="s">
        <v>768</v>
      </c>
      <c r="K474" s="28" t="s">
        <v>779</v>
      </c>
      <c r="L474" s="28" t="s">
        <v>867</v>
      </c>
      <c r="M474" s="28" t="s">
        <v>687</v>
      </c>
      <c r="O474" s="28" t="s">
        <v>243</v>
      </c>
      <c r="P474" s="28" t="s">
        <v>779</v>
      </c>
      <c r="Q474" s="28" t="s">
        <v>1432</v>
      </c>
      <c r="Y474" s="28" t="s">
        <v>1895</v>
      </c>
      <c r="Z474" s="28" t="s">
        <v>1902</v>
      </c>
      <c r="AA474" s="28" t="s">
        <v>419</v>
      </c>
      <c r="AC474" s="28" t="s">
        <v>816</v>
      </c>
      <c r="AD474" s="28" t="s">
        <v>884</v>
      </c>
    </row>
    <row r="475" spans="4:30" x14ac:dyDescent="0.25">
      <c r="F475" s="28" t="s">
        <v>454</v>
      </c>
      <c r="G475" s="28" t="s">
        <v>450</v>
      </c>
      <c r="H475" s="28" t="s">
        <v>789</v>
      </c>
      <c r="I475" s="28" t="s">
        <v>830</v>
      </c>
      <c r="L475" s="28" t="s">
        <v>868</v>
      </c>
      <c r="N475" s="28" t="s">
        <v>1212</v>
      </c>
      <c r="Q475" s="28" t="s">
        <v>1433</v>
      </c>
      <c r="R475" s="28" t="s">
        <v>622</v>
      </c>
      <c r="W475" s="28" t="s">
        <v>254</v>
      </c>
      <c r="X475" s="28" t="s">
        <v>1041</v>
      </c>
      <c r="AA475" s="28" t="s">
        <v>244</v>
      </c>
      <c r="AB475" s="28" t="s">
        <v>160</v>
      </c>
    </row>
    <row r="476" spans="4:30" x14ac:dyDescent="0.25">
      <c r="D476" s="28" t="s">
        <v>436</v>
      </c>
      <c r="E476" s="28" t="s">
        <v>549</v>
      </c>
      <c r="I476" s="28" t="s">
        <v>831</v>
      </c>
      <c r="J476" s="28" t="s">
        <v>674</v>
      </c>
      <c r="K476" s="28" t="s">
        <v>972</v>
      </c>
      <c r="M476" s="28" t="s">
        <v>1150</v>
      </c>
      <c r="O476" s="28" t="s">
        <v>661</v>
      </c>
      <c r="P476" s="28" t="s">
        <v>793</v>
      </c>
      <c r="Q476" s="28" t="s">
        <v>1434</v>
      </c>
      <c r="R476" s="28" t="s">
        <v>1333</v>
      </c>
      <c r="W476" s="28" t="s">
        <v>255</v>
      </c>
      <c r="Y476" s="28" t="s">
        <v>785</v>
      </c>
      <c r="Z476" s="28" t="s">
        <v>433</v>
      </c>
      <c r="AC476" s="28" t="s">
        <v>909</v>
      </c>
      <c r="AD476" s="28" t="s">
        <v>885</v>
      </c>
    </row>
    <row r="477" spans="4:30" x14ac:dyDescent="0.25">
      <c r="D477" s="28" t="s">
        <v>436</v>
      </c>
      <c r="F477" s="28" t="s">
        <v>455</v>
      </c>
      <c r="G477" s="28" t="s">
        <v>451</v>
      </c>
      <c r="H477" s="28" t="s">
        <v>777</v>
      </c>
      <c r="L477" s="28" t="s">
        <v>845</v>
      </c>
      <c r="M477" s="28" t="s">
        <v>711</v>
      </c>
      <c r="N477" s="28" t="s">
        <v>661</v>
      </c>
      <c r="O477" s="28" t="s">
        <v>212</v>
      </c>
      <c r="P477" s="28" t="s">
        <v>794</v>
      </c>
      <c r="Q477" s="28" t="s">
        <v>1435</v>
      </c>
      <c r="R477" s="28" t="s">
        <v>624</v>
      </c>
      <c r="W477" s="28" t="s">
        <v>248</v>
      </c>
      <c r="X477" s="28" t="s">
        <v>1610</v>
      </c>
      <c r="AA477" s="28" t="s">
        <v>244</v>
      </c>
      <c r="AB477" s="28" t="s">
        <v>244</v>
      </c>
      <c r="AC477" s="28" t="s">
        <v>910</v>
      </c>
    </row>
    <row r="478" spans="4:30" x14ac:dyDescent="0.25">
      <c r="D478" s="28" t="s">
        <v>437</v>
      </c>
      <c r="E478" s="28" t="s">
        <v>241</v>
      </c>
      <c r="H478" s="28" t="s">
        <v>777</v>
      </c>
      <c r="I478" s="28" t="s">
        <v>832</v>
      </c>
      <c r="J478" s="28" t="s">
        <v>769</v>
      </c>
      <c r="K478" s="28" t="s">
        <v>972</v>
      </c>
      <c r="L478" s="28" t="s">
        <v>846</v>
      </c>
      <c r="M478" s="28" t="s">
        <v>1075</v>
      </c>
      <c r="N478" s="28" t="s">
        <v>212</v>
      </c>
      <c r="Q478" s="28" t="s">
        <v>1436</v>
      </c>
      <c r="R478" s="28" t="s">
        <v>625</v>
      </c>
      <c r="W478" s="28" t="s">
        <v>246</v>
      </c>
      <c r="Y478" s="28" t="s">
        <v>894</v>
      </c>
      <c r="Z478" s="28" t="s">
        <v>243</v>
      </c>
      <c r="AD478" s="28" t="s">
        <v>687</v>
      </c>
    </row>
    <row r="479" spans="4:30" x14ac:dyDescent="0.25">
      <c r="D479" s="28" t="s">
        <v>437</v>
      </c>
      <c r="E479" s="28" t="s">
        <v>550</v>
      </c>
      <c r="F479" s="28" t="s">
        <v>215</v>
      </c>
      <c r="G479" s="28" t="s">
        <v>452</v>
      </c>
      <c r="I479" s="28" t="s">
        <v>833</v>
      </c>
      <c r="M479" s="28" t="s">
        <v>1075</v>
      </c>
      <c r="O479" s="28" t="s">
        <v>243</v>
      </c>
      <c r="P479" s="28" t="s">
        <v>795</v>
      </c>
      <c r="Q479" s="28" t="s">
        <v>1437</v>
      </c>
      <c r="R479" s="28" t="s">
        <v>626</v>
      </c>
      <c r="W479" s="28" t="s">
        <v>256</v>
      </c>
      <c r="X479" s="28" t="s">
        <v>1611</v>
      </c>
      <c r="AA479" s="28" t="s">
        <v>419</v>
      </c>
      <c r="AB479" s="28" t="s">
        <v>1947</v>
      </c>
      <c r="AC479" s="28" t="s">
        <v>810</v>
      </c>
      <c r="AD479" s="28" t="s">
        <v>1964</v>
      </c>
    </row>
    <row r="480" spans="4:30" x14ac:dyDescent="0.25">
      <c r="H480" s="28" t="s">
        <v>790</v>
      </c>
      <c r="J480" s="28" t="s">
        <v>770</v>
      </c>
      <c r="K480" s="28" t="s">
        <v>972</v>
      </c>
      <c r="L480" s="28" t="s">
        <v>847</v>
      </c>
      <c r="N480" s="28" t="s">
        <v>441</v>
      </c>
      <c r="P480" s="28" t="s">
        <v>796</v>
      </c>
      <c r="Q480" s="28" t="s">
        <v>1438</v>
      </c>
      <c r="R480" s="28" t="s">
        <v>627</v>
      </c>
      <c r="W480" s="28" t="s">
        <v>254</v>
      </c>
      <c r="X480" s="28" t="s">
        <v>1612</v>
      </c>
      <c r="Y480" s="28" t="s">
        <v>895</v>
      </c>
      <c r="Z480" s="28" t="s">
        <v>285</v>
      </c>
    </row>
    <row r="481" spans="4:30" x14ac:dyDescent="0.25">
      <c r="D481" s="28" t="s">
        <v>438</v>
      </c>
      <c r="E481" s="28" t="s">
        <v>230</v>
      </c>
      <c r="F481" s="28" t="s">
        <v>456</v>
      </c>
      <c r="G481" s="28" t="s">
        <v>453</v>
      </c>
      <c r="H481" s="28" t="s">
        <v>791</v>
      </c>
      <c r="I481" s="28" t="s">
        <v>834</v>
      </c>
      <c r="L481" s="28" t="s">
        <v>848</v>
      </c>
      <c r="M481" s="28" t="s">
        <v>688</v>
      </c>
      <c r="O481" s="28" t="s">
        <v>1305</v>
      </c>
      <c r="Q481" s="28" t="s">
        <v>1437</v>
      </c>
      <c r="W481" s="28" t="s">
        <v>255</v>
      </c>
      <c r="X481" s="28" t="s">
        <v>1809</v>
      </c>
      <c r="AA481" s="28" t="s">
        <v>433</v>
      </c>
      <c r="AB481" s="28" t="s">
        <v>1892</v>
      </c>
      <c r="AC481" s="28" t="s">
        <v>811</v>
      </c>
      <c r="AD481" s="28" t="s">
        <v>886</v>
      </c>
    </row>
    <row r="482" spans="4:30" x14ac:dyDescent="0.25">
      <c r="D482" s="28" t="s">
        <v>438</v>
      </c>
      <c r="I482" s="28" t="s">
        <v>835</v>
      </c>
      <c r="J482" s="28" t="s">
        <v>1019</v>
      </c>
      <c r="K482" s="28" t="s">
        <v>781</v>
      </c>
      <c r="N482" s="28" t="s">
        <v>1172</v>
      </c>
      <c r="P482" s="28" t="s">
        <v>341</v>
      </c>
      <c r="Q482" s="28" t="s">
        <v>1438</v>
      </c>
      <c r="R482" s="28" t="s">
        <v>628</v>
      </c>
      <c r="W482" s="28" t="s">
        <v>257</v>
      </c>
      <c r="X482" s="28" t="s">
        <v>1810</v>
      </c>
      <c r="Y482" s="28" t="s">
        <v>896</v>
      </c>
      <c r="Z482" s="28" t="s">
        <v>160</v>
      </c>
      <c r="AB482" s="28" t="s">
        <v>1882</v>
      </c>
      <c r="AC482" s="28" t="s">
        <v>820</v>
      </c>
    </row>
    <row r="483" spans="4:30" x14ac:dyDescent="0.25">
      <c r="D483" s="28" t="s">
        <v>439</v>
      </c>
      <c r="E483" s="28" t="s">
        <v>285</v>
      </c>
      <c r="F483" s="28" t="s">
        <v>457</v>
      </c>
      <c r="G483" s="28" t="s">
        <v>608</v>
      </c>
      <c r="H483" s="28" t="s">
        <v>792</v>
      </c>
      <c r="L483" s="28" t="s">
        <v>829</v>
      </c>
      <c r="M483" s="28" t="s">
        <v>198</v>
      </c>
      <c r="O483" s="28" t="s">
        <v>1306</v>
      </c>
      <c r="P483" s="28" t="s">
        <v>797</v>
      </c>
      <c r="Q483" s="28" t="s">
        <v>1437</v>
      </c>
      <c r="R483" s="28" t="s">
        <v>629</v>
      </c>
      <c r="W483" s="28" t="s">
        <v>247</v>
      </c>
      <c r="X483" s="28" t="s">
        <v>1811</v>
      </c>
      <c r="AA483" s="28" t="s">
        <v>160</v>
      </c>
      <c r="AB483" s="28" t="s">
        <v>1948</v>
      </c>
      <c r="AC483" s="28" t="s">
        <v>821</v>
      </c>
      <c r="AD483" s="28" t="s">
        <v>205</v>
      </c>
    </row>
    <row r="484" spans="4:30" x14ac:dyDescent="0.25">
      <c r="D484" s="28" t="s">
        <v>439</v>
      </c>
      <c r="H484" s="28" t="s">
        <v>792</v>
      </c>
      <c r="I484" s="28" t="s">
        <v>837</v>
      </c>
      <c r="J484" s="28" t="s">
        <v>772</v>
      </c>
      <c r="K484" s="28" t="s">
        <v>782</v>
      </c>
      <c r="N484" s="28" t="s">
        <v>1169</v>
      </c>
      <c r="P484" s="28" t="s">
        <v>798</v>
      </c>
      <c r="Q484" s="28" t="s">
        <v>1438</v>
      </c>
      <c r="R484" s="28" t="s">
        <v>630</v>
      </c>
      <c r="W484" s="28" t="s">
        <v>258</v>
      </c>
      <c r="X484" s="28" t="s">
        <v>1812</v>
      </c>
      <c r="Y484" s="28" t="s">
        <v>897</v>
      </c>
      <c r="Z484" s="28" t="s">
        <v>160</v>
      </c>
    </row>
    <row r="485" spans="4:30" x14ac:dyDescent="0.25">
      <c r="D485" s="28" t="s">
        <v>440</v>
      </c>
      <c r="E485" s="28" t="s">
        <v>231</v>
      </c>
      <c r="F485" s="28" t="s">
        <v>286</v>
      </c>
      <c r="G485" s="28" t="s">
        <v>454</v>
      </c>
      <c r="J485" s="28" t="s">
        <v>773</v>
      </c>
      <c r="L485" s="28" t="s">
        <v>829</v>
      </c>
      <c r="M485" s="28" t="s">
        <v>214</v>
      </c>
      <c r="O485" s="28" t="s">
        <v>212</v>
      </c>
      <c r="P485" s="28" t="s">
        <v>799</v>
      </c>
      <c r="Q485" s="28" t="s">
        <v>1438</v>
      </c>
      <c r="R485" s="28" t="s">
        <v>631</v>
      </c>
      <c r="W485" s="28" t="s">
        <v>259</v>
      </c>
      <c r="X485" s="28" t="s">
        <v>1813</v>
      </c>
      <c r="AA485" s="28" t="s">
        <v>160</v>
      </c>
      <c r="AB485" s="28" t="s">
        <v>243</v>
      </c>
      <c r="AC485" s="28" t="s">
        <v>811</v>
      </c>
      <c r="AD485" s="28" t="s">
        <v>887</v>
      </c>
    </row>
    <row r="486" spans="4:30" x14ac:dyDescent="0.25">
      <c r="D486" s="28" t="s">
        <v>440</v>
      </c>
      <c r="H486" s="28" t="s">
        <v>779</v>
      </c>
      <c r="I486" s="28" t="s">
        <v>838</v>
      </c>
      <c r="J486" s="28" t="s">
        <v>774</v>
      </c>
      <c r="K486" s="28" t="s">
        <v>160</v>
      </c>
      <c r="N486" s="28" t="s">
        <v>419</v>
      </c>
      <c r="Q486" s="28" t="s">
        <v>1437</v>
      </c>
      <c r="R486" s="28" t="s">
        <v>632</v>
      </c>
      <c r="X486" s="28" t="s">
        <v>1814</v>
      </c>
      <c r="Y486" s="28" t="s">
        <v>898</v>
      </c>
      <c r="Z486" s="28" t="s">
        <v>442</v>
      </c>
      <c r="AB486" s="28" t="s">
        <v>160</v>
      </c>
      <c r="AC486" s="28" t="s">
        <v>822</v>
      </c>
      <c r="AD486" s="28" t="s">
        <v>888</v>
      </c>
    </row>
    <row r="487" spans="4:30" x14ac:dyDescent="0.25">
      <c r="E487" s="28" t="s">
        <v>160</v>
      </c>
      <c r="F487" s="28" t="s">
        <v>287</v>
      </c>
      <c r="G487" s="28" t="s">
        <v>455</v>
      </c>
      <c r="H487" s="28" t="s">
        <v>779</v>
      </c>
      <c r="J487" s="28" t="s">
        <v>775</v>
      </c>
      <c r="L487" s="28" t="s">
        <v>878</v>
      </c>
      <c r="M487" s="28" t="s">
        <v>1151</v>
      </c>
      <c r="N487" s="28" t="s">
        <v>243</v>
      </c>
      <c r="O487" s="28" t="s">
        <v>243</v>
      </c>
      <c r="P487" s="28" t="s">
        <v>1361</v>
      </c>
      <c r="Q487" s="28" t="s">
        <v>1439</v>
      </c>
      <c r="R487" s="28" t="s">
        <v>633</v>
      </c>
      <c r="W487" s="28" t="s">
        <v>247</v>
      </c>
      <c r="X487" s="28" t="s">
        <v>1815</v>
      </c>
      <c r="AA487" s="28" t="s">
        <v>160</v>
      </c>
      <c r="AB487" s="28" t="s">
        <v>160</v>
      </c>
      <c r="AC487" s="28" t="s">
        <v>811</v>
      </c>
      <c r="AD487" s="28" t="s">
        <v>1968</v>
      </c>
    </row>
    <row r="488" spans="4:30" x14ac:dyDescent="0.25">
      <c r="D488" s="28" t="s">
        <v>445</v>
      </c>
      <c r="F488" s="28" t="s">
        <v>288</v>
      </c>
      <c r="I488" s="28" t="s">
        <v>836</v>
      </c>
      <c r="K488" s="28" t="s">
        <v>783</v>
      </c>
      <c r="L488" s="28" t="s">
        <v>705</v>
      </c>
      <c r="M488" s="28" t="s">
        <v>1133</v>
      </c>
      <c r="N488" s="28" t="s">
        <v>160</v>
      </c>
      <c r="W488" s="28" t="s">
        <v>260</v>
      </c>
      <c r="X488" s="28" t="s">
        <v>1816</v>
      </c>
      <c r="Y488" s="28" t="s">
        <v>899</v>
      </c>
      <c r="Z488" s="28" t="s">
        <v>1914</v>
      </c>
      <c r="AB488" s="28" t="s">
        <v>254</v>
      </c>
    </row>
    <row r="489" spans="4:30" x14ac:dyDescent="0.25">
      <c r="E489" s="28" t="s">
        <v>424</v>
      </c>
      <c r="G489" s="28" t="s">
        <v>215</v>
      </c>
      <c r="H489" s="28" t="s">
        <v>793</v>
      </c>
      <c r="J489" s="28" t="s">
        <v>776</v>
      </c>
      <c r="L489" s="28" t="s">
        <v>1118</v>
      </c>
      <c r="M489" s="28" t="s">
        <v>722</v>
      </c>
      <c r="O489" s="28" t="s">
        <v>1307</v>
      </c>
      <c r="P489" s="28" t="s">
        <v>73</v>
      </c>
      <c r="Q489" s="28" t="s">
        <v>1402</v>
      </c>
      <c r="R489" s="28" t="s">
        <v>637</v>
      </c>
      <c r="W489" s="28" t="s">
        <v>247</v>
      </c>
      <c r="X489" s="28" t="s">
        <v>1817</v>
      </c>
      <c r="Z489" s="28" t="s">
        <v>1893</v>
      </c>
      <c r="AA489" s="28" t="s">
        <v>160</v>
      </c>
      <c r="AB489" s="28" t="s">
        <v>961</v>
      </c>
      <c r="AC489" s="28" t="s">
        <v>911</v>
      </c>
      <c r="AD489" s="28" t="s">
        <v>889</v>
      </c>
    </row>
    <row r="490" spans="4:30" x14ac:dyDescent="0.25">
      <c r="D490" s="28" t="s">
        <v>446</v>
      </c>
      <c r="F490" s="28" t="s">
        <v>289</v>
      </c>
      <c r="H490" s="28" t="s">
        <v>794</v>
      </c>
      <c r="I490" s="28" t="s">
        <v>861</v>
      </c>
      <c r="J490" s="28" t="s">
        <v>777</v>
      </c>
      <c r="K490" s="28" t="s">
        <v>545</v>
      </c>
      <c r="M490" s="28" t="s">
        <v>722</v>
      </c>
      <c r="N490" s="28" t="s">
        <v>212</v>
      </c>
      <c r="P490" s="28" t="s">
        <v>43</v>
      </c>
      <c r="Q490" s="28" t="s">
        <v>1420</v>
      </c>
      <c r="R490" s="28" t="s">
        <v>1334</v>
      </c>
      <c r="W490" s="28" t="s">
        <v>261</v>
      </c>
      <c r="X490" s="28" t="s">
        <v>1818</v>
      </c>
      <c r="Y490" s="28" t="s">
        <v>900</v>
      </c>
      <c r="Z490" s="28" t="s">
        <v>433</v>
      </c>
      <c r="AD490" s="28" t="s">
        <v>1968</v>
      </c>
    </row>
    <row r="491" spans="4:30" x14ac:dyDescent="0.25">
      <c r="E491" s="28" t="s">
        <v>285</v>
      </c>
      <c r="G491" s="28" t="s">
        <v>456</v>
      </c>
      <c r="J491" s="28" t="s">
        <v>778</v>
      </c>
      <c r="L491" s="28" t="s">
        <v>879</v>
      </c>
      <c r="N491" s="28" t="s">
        <v>212</v>
      </c>
      <c r="O491" s="28" t="s">
        <v>1284</v>
      </c>
      <c r="Q491" s="28" t="s">
        <v>1440</v>
      </c>
      <c r="R491" s="28" t="s">
        <v>639</v>
      </c>
      <c r="W491" s="28" t="s">
        <v>254</v>
      </c>
      <c r="X491" s="28" t="s">
        <v>1819</v>
      </c>
      <c r="AA491" s="28" t="s">
        <v>1913</v>
      </c>
      <c r="AB491" s="28" t="s">
        <v>1913</v>
      </c>
      <c r="AC491" s="28" t="s">
        <v>823</v>
      </c>
    </row>
    <row r="492" spans="4:30" x14ac:dyDescent="0.25">
      <c r="D492" s="28" t="s">
        <v>373</v>
      </c>
      <c r="E492" s="28" t="s">
        <v>419</v>
      </c>
      <c r="F492" s="28" t="s">
        <v>458</v>
      </c>
      <c r="H492" s="28" t="s">
        <v>795</v>
      </c>
      <c r="I492" s="28" t="s">
        <v>839</v>
      </c>
      <c r="J492" s="28" t="s">
        <v>779</v>
      </c>
      <c r="K492" s="28" t="s">
        <v>622</v>
      </c>
      <c r="M492" s="28" t="s">
        <v>1152</v>
      </c>
      <c r="P492" s="28" t="s">
        <v>786</v>
      </c>
      <c r="Q492" s="28" t="s">
        <v>1441</v>
      </c>
      <c r="R492" s="28" t="s">
        <v>640</v>
      </c>
      <c r="W492" s="28" t="s">
        <v>262</v>
      </c>
      <c r="X492" s="28" t="s">
        <v>1820</v>
      </c>
      <c r="Y492" s="28" t="s">
        <v>901</v>
      </c>
      <c r="Z492" s="28" t="s">
        <v>243</v>
      </c>
      <c r="AA492" s="28" t="s">
        <v>1882</v>
      </c>
      <c r="AB492" s="28" t="s">
        <v>1882</v>
      </c>
      <c r="AC492" s="28" t="s">
        <v>809</v>
      </c>
      <c r="AD492" s="28" t="s">
        <v>1960</v>
      </c>
    </row>
    <row r="493" spans="4:30" x14ac:dyDescent="0.25">
      <c r="E493" s="28" t="s">
        <v>285</v>
      </c>
      <c r="F493" s="28" t="s">
        <v>459</v>
      </c>
      <c r="G493" s="28" t="s">
        <v>457</v>
      </c>
      <c r="H493" s="28" t="s">
        <v>796</v>
      </c>
      <c r="I493" s="28" t="s">
        <v>840</v>
      </c>
      <c r="K493" s="28" t="s">
        <v>623</v>
      </c>
      <c r="L493" s="28" t="s">
        <v>880</v>
      </c>
      <c r="M493" s="28" t="s">
        <v>1153</v>
      </c>
      <c r="N493" s="28" t="s">
        <v>1213</v>
      </c>
      <c r="O493" s="28" t="s">
        <v>1283</v>
      </c>
      <c r="P493" s="28" t="s">
        <v>1367</v>
      </c>
      <c r="Q493" s="28" t="s">
        <v>1441</v>
      </c>
      <c r="R493" s="28" t="s">
        <v>641</v>
      </c>
      <c r="W493" s="28" t="s">
        <v>254</v>
      </c>
      <c r="X493" s="28" t="s">
        <v>1821</v>
      </c>
      <c r="AA493" s="28" t="s">
        <v>160</v>
      </c>
      <c r="AB493" s="28" t="s">
        <v>160</v>
      </c>
      <c r="AC493" s="28" t="s">
        <v>826</v>
      </c>
    </row>
    <row r="494" spans="4:30" x14ac:dyDescent="0.25">
      <c r="D494" s="28" t="s">
        <v>447</v>
      </c>
      <c r="F494" s="28" t="s">
        <v>460</v>
      </c>
      <c r="J494" s="28" t="s">
        <v>780</v>
      </c>
      <c r="K494" s="28" t="s">
        <v>624</v>
      </c>
      <c r="L494" s="28" t="s">
        <v>881</v>
      </c>
      <c r="M494" s="28" t="s">
        <v>716</v>
      </c>
      <c r="P494" s="28" t="s">
        <v>800</v>
      </c>
      <c r="Q494" s="28" t="s">
        <v>1441</v>
      </c>
      <c r="R494" s="28" t="s">
        <v>642</v>
      </c>
      <c r="W494" s="28" t="s">
        <v>255</v>
      </c>
      <c r="X494" s="28" t="s">
        <v>1822</v>
      </c>
      <c r="Y494" s="28" t="s">
        <v>902</v>
      </c>
      <c r="Z494" s="28" t="s">
        <v>285</v>
      </c>
      <c r="AD494" s="28" t="s">
        <v>160</v>
      </c>
    </row>
    <row r="495" spans="4:30" x14ac:dyDescent="0.25">
      <c r="E495" s="28" t="s">
        <v>243</v>
      </c>
      <c r="F495" s="28" t="s">
        <v>461</v>
      </c>
      <c r="G495" s="28" t="s">
        <v>286</v>
      </c>
      <c r="H495" s="28" t="s">
        <v>341</v>
      </c>
      <c r="I495" s="28" t="s">
        <v>841</v>
      </c>
      <c r="K495" s="28" t="s">
        <v>625</v>
      </c>
      <c r="L495" s="28" t="s">
        <v>882</v>
      </c>
      <c r="M495" s="28" t="s">
        <v>716</v>
      </c>
      <c r="N495" s="28" t="s">
        <v>212</v>
      </c>
      <c r="O495" s="28" t="s">
        <v>212</v>
      </c>
      <c r="P495" s="28" t="s">
        <v>773</v>
      </c>
      <c r="Q495" s="28" t="s">
        <v>1441</v>
      </c>
      <c r="W495" s="28" t="s">
        <v>263</v>
      </c>
      <c r="X495" s="28" t="s">
        <v>1823</v>
      </c>
      <c r="AA495" s="28" t="s">
        <v>285</v>
      </c>
      <c r="AB495" s="28" t="s">
        <v>285</v>
      </c>
      <c r="AC495" s="28" t="s">
        <v>827</v>
      </c>
    </row>
    <row r="496" spans="4:30" x14ac:dyDescent="0.25">
      <c r="D496" s="28" t="s">
        <v>448</v>
      </c>
      <c r="E496" s="28" t="s">
        <v>285</v>
      </c>
      <c r="F496" s="28" t="s">
        <v>462</v>
      </c>
      <c r="H496" s="28" t="s">
        <v>797</v>
      </c>
      <c r="I496" s="28" t="s">
        <v>842</v>
      </c>
      <c r="J496" s="28" t="s">
        <v>780</v>
      </c>
      <c r="K496" s="28" t="s">
        <v>626</v>
      </c>
      <c r="P496" s="28" t="s">
        <v>786</v>
      </c>
      <c r="R496" s="28" t="s">
        <v>643</v>
      </c>
      <c r="W496" s="28" t="s">
        <v>261</v>
      </c>
      <c r="X496" s="28" t="s">
        <v>1824</v>
      </c>
      <c r="Y496" s="28" t="s">
        <v>903</v>
      </c>
      <c r="Z496" s="28" t="s">
        <v>285</v>
      </c>
      <c r="AC496" s="28" t="s">
        <v>823</v>
      </c>
      <c r="AD496" s="28" t="s">
        <v>1982</v>
      </c>
    </row>
    <row r="497" spans="4:30" x14ac:dyDescent="0.25">
      <c r="E497" s="28" t="s">
        <v>244</v>
      </c>
      <c r="F497" s="28" t="s">
        <v>463</v>
      </c>
      <c r="G497" s="28" t="s">
        <v>287</v>
      </c>
      <c r="H497" s="28" t="s">
        <v>798</v>
      </c>
      <c r="K497" s="28" t="s">
        <v>627</v>
      </c>
      <c r="L497" s="28" t="s">
        <v>883</v>
      </c>
      <c r="M497" s="28" t="s">
        <v>1152</v>
      </c>
      <c r="N497" s="28" t="s">
        <v>1213</v>
      </c>
      <c r="O497" s="28" t="s">
        <v>212</v>
      </c>
      <c r="P497" s="28" t="s">
        <v>801</v>
      </c>
      <c r="Q497" s="28" t="s">
        <v>1431</v>
      </c>
      <c r="R497" s="28" t="s">
        <v>644</v>
      </c>
      <c r="W497" s="28" t="s">
        <v>245</v>
      </c>
      <c r="X497" s="28" t="s">
        <v>1825</v>
      </c>
      <c r="Z497" s="28" t="s">
        <v>160</v>
      </c>
      <c r="AA497" s="28" t="s">
        <v>243</v>
      </c>
      <c r="AB497" s="28" t="s">
        <v>243</v>
      </c>
      <c r="AC497" s="28" t="s">
        <v>809</v>
      </c>
    </row>
    <row r="498" spans="4:30" x14ac:dyDescent="0.25">
      <c r="D498" s="28" t="s">
        <v>373</v>
      </c>
      <c r="F498" s="28" t="s">
        <v>464</v>
      </c>
      <c r="G498" s="28" t="s">
        <v>288</v>
      </c>
      <c r="H498" s="28" t="s">
        <v>799</v>
      </c>
      <c r="I498" s="28" t="s">
        <v>843</v>
      </c>
      <c r="J498" s="28" t="s">
        <v>780</v>
      </c>
      <c r="K498" s="28" t="s">
        <v>628</v>
      </c>
      <c r="M498" s="28" t="s">
        <v>1153</v>
      </c>
      <c r="P498" s="28" t="s">
        <v>774</v>
      </c>
      <c r="Q498" s="28" t="s">
        <v>1433</v>
      </c>
      <c r="R498" s="28" t="s">
        <v>645</v>
      </c>
      <c r="W498" s="28" t="s">
        <v>264</v>
      </c>
      <c r="X498" s="28" t="s">
        <v>1826</v>
      </c>
      <c r="Y498" s="28" t="s">
        <v>1896</v>
      </c>
      <c r="Z498" s="28" t="s">
        <v>285</v>
      </c>
      <c r="AD498" s="28" t="s">
        <v>1979</v>
      </c>
    </row>
    <row r="499" spans="4:30" x14ac:dyDescent="0.25">
      <c r="E499" s="28" t="s">
        <v>514</v>
      </c>
      <c r="F499" s="28" t="s">
        <v>465</v>
      </c>
      <c r="I499" s="28" t="s">
        <v>844</v>
      </c>
      <c r="K499" s="28" t="s">
        <v>629</v>
      </c>
      <c r="L499" s="28" t="s">
        <v>884</v>
      </c>
      <c r="M499" s="28" t="s">
        <v>716</v>
      </c>
      <c r="N499" s="28" t="s">
        <v>1169</v>
      </c>
      <c r="O499" s="28" t="s">
        <v>545</v>
      </c>
      <c r="P499" s="28" t="s">
        <v>802</v>
      </c>
      <c r="Q499" s="28" t="s">
        <v>1435</v>
      </c>
      <c r="R499" s="28" t="s">
        <v>646</v>
      </c>
      <c r="X499" s="28" t="s">
        <v>1827</v>
      </c>
      <c r="AA499" s="28" t="s">
        <v>433</v>
      </c>
      <c r="AB499" s="28" t="s">
        <v>433</v>
      </c>
      <c r="AC499" s="28" t="s">
        <v>912</v>
      </c>
      <c r="AD499" s="28" t="s">
        <v>1979</v>
      </c>
    </row>
    <row r="500" spans="4:30" x14ac:dyDescent="0.25">
      <c r="D500" s="28" t="s">
        <v>449</v>
      </c>
      <c r="G500" s="28" t="s">
        <v>289</v>
      </c>
      <c r="H500" s="28" t="s">
        <v>73</v>
      </c>
      <c r="J500" s="28" t="s">
        <v>781</v>
      </c>
      <c r="K500" s="28" t="s">
        <v>630</v>
      </c>
      <c r="M500" s="28" t="s">
        <v>716</v>
      </c>
      <c r="O500" s="28" t="s">
        <v>420</v>
      </c>
      <c r="P500" s="28" t="s">
        <v>775</v>
      </c>
      <c r="Q500" s="28" t="s">
        <v>1437</v>
      </c>
      <c r="R500" s="28" t="s">
        <v>647</v>
      </c>
      <c r="W500" s="28" t="s">
        <v>255</v>
      </c>
      <c r="Y500" s="28" t="s">
        <v>1866</v>
      </c>
      <c r="Z500" s="28" t="s">
        <v>285</v>
      </c>
      <c r="AD500" s="28" t="s">
        <v>1980</v>
      </c>
    </row>
    <row r="501" spans="4:30" x14ac:dyDescent="0.25">
      <c r="E501" s="28" t="s">
        <v>424</v>
      </c>
      <c r="F501" s="28" t="s">
        <v>295</v>
      </c>
      <c r="H501" s="28" t="s">
        <v>43</v>
      </c>
      <c r="I501" s="28" t="s">
        <v>867</v>
      </c>
      <c r="K501" s="28" t="s">
        <v>631</v>
      </c>
      <c r="L501" s="28" t="s">
        <v>885</v>
      </c>
      <c r="N501" s="28" t="s">
        <v>1213</v>
      </c>
      <c r="Q501" s="28" t="s">
        <v>1437</v>
      </c>
      <c r="R501" s="28" t="s">
        <v>648</v>
      </c>
      <c r="X501" s="28" t="s">
        <v>1620</v>
      </c>
      <c r="AA501" s="28" t="s">
        <v>545</v>
      </c>
      <c r="AB501" s="28" t="s">
        <v>545</v>
      </c>
      <c r="AC501" s="28" t="s">
        <v>810</v>
      </c>
      <c r="AD501" s="28" t="s">
        <v>1980</v>
      </c>
    </row>
    <row r="502" spans="4:30" x14ac:dyDescent="0.25">
      <c r="D502" s="28" t="s">
        <v>450</v>
      </c>
      <c r="G502" s="28" t="s">
        <v>458</v>
      </c>
      <c r="I502" s="28" t="s">
        <v>868</v>
      </c>
      <c r="J502" s="28" t="s">
        <v>782</v>
      </c>
      <c r="K502" s="28" t="s">
        <v>632</v>
      </c>
      <c r="M502" s="28" t="s">
        <v>703</v>
      </c>
      <c r="O502" s="28" t="s">
        <v>419</v>
      </c>
      <c r="P502" s="28" t="s">
        <v>778</v>
      </c>
      <c r="Q502" s="28" t="s">
        <v>1437</v>
      </c>
      <c r="W502" s="28" t="s">
        <v>250</v>
      </c>
      <c r="Y502" s="28" t="s">
        <v>1886</v>
      </c>
      <c r="Z502" s="28" t="s">
        <v>285</v>
      </c>
      <c r="AA502" s="28" t="s">
        <v>422</v>
      </c>
      <c r="AB502" s="28" t="s">
        <v>422</v>
      </c>
      <c r="AC502" s="28" t="s">
        <v>818</v>
      </c>
    </row>
    <row r="503" spans="4:30" x14ac:dyDescent="0.25">
      <c r="E503" s="28" t="s">
        <v>442</v>
      </c>
      <c r="F503" s="28" t="s">
        <v>303</v>
      </c>
      <c r="G503" s="28" t="s">
        <v>459</v>
      </c>
      <c r="H503" s="28" t="s">
        <v>780</v>
      </c>
      <c r="K503" s="28" t="s">
        <v>633</v>
      </c>
      <c r="L503" s="28" t="s">
        <v>687</v>
      </c>
      <c r="M503" s="28" t="s">
        <v>728</v>
      </c>
      <c r="N503" s="28" t="s">
        <v>212</v>
      </c>
      <c r="O503" s="28" t="s">
        <v>420</v>
      </c>
      <c r="Q503" s="28" t="s">
        <v>1437</v>
      </c>
      <c r="R503" s="28" t="s">
        <v>829</v>
      </c>
      <c r="W503" s="28" t="s">
        <v>261</v>
      </c>
      <c r="X503" s="28" t="s">
        <v>1828</v>
      </c>
      <c r="AA503" s="28" t="s">
        <v>212</v>
      </c>
      <c r="AB503" s="28" t="s">
        <v>212</v>
      </c>
      <c r="AD503" s="28" t="s">
        <v>1981</v>
      </c>
    </row>
    <row r="504" spans="4:30" x14ac:dyDescent="0.25">
      <c r="D504" s="28" t="s">
        <v>451</v>
      </c>
      <c r="G504" s="28" t="s">
        <v>460</v>
      </c>
      <c r="H504" s="28" t="s">
        <v>786</v>
      </c>
      <c r="I504" s="28" t="s">
        <v>845</v>
      </c>
      <c r="J504" s="28" t="s">
        <v>160</v>
      </c>
      <c r="K504" s="28" t="s">
        <v>634</v>
      </c>
      <c r="L504" s="28" t="s">
        <v>1119</v>
      </c>
      <c r="M504" s="28" t="s">
        <v>729</v>
      </c>
      <c r="O504" s="28" t="s">
        <v>160</v>
      </c>
      <c r="P504" s="28" t="s">
        <v>777</v>
      </c>
      <c r="W504" s="28" t="s">
        <v>245</v>
      </c>
      <c r="X504" s="28" t="s">
        <v>1622</v>
      </c>
      <c r="Y504" s="28" t="s">
        <v>905</v>
      </c>
      <c r="Z504" s="28" t="s">
        <v>1892</v>
      </c>
      <c r="AC504" s="28" t="s">
        <v>915</v>
      </c>
    </row>
    <row r="505" spans="4:30" x14ac:dyDescent="0.25">
      <c r="E505" s="28" t="s">
        <v>428</v>
      </c>
      <c r="F505" s="28" t="s">
        <v>296</v>
      </c>
      <c r="G505" s="28" t="s">
        <v>461</v>
      </c>
      <c r="H505" s="28" t="s">
        <v>800</v>
      </c>
      <c r="I505" s="28" t="s">
        <v>846</v>
      </c>
      <c r="K505" s="28" t="s">
        <v>635</v>
      </c>
      <c r="M505" s="28" t="s">
        <v>730</v>
      </c>
      <c r="N505" s="28" t="s">
        <v>1213</v>
      </c>
      <c r="Q505" s="28" t="s">
        <v>723</v>
      </c>
      <c r="R505" s="28" t="s">
        <v>838</v>
      </c>
      <c r="W505" s="28" t="s">
        <v>263</v>
      </c>
      <c r="X505" s="28" t="s">
        <v>1829</v>
      </c>
      <c r="Y505" s="28" t="s">
        <v>1881</v>
      </c>
      <c r="Z505" s="28" t="s">
        <v>1893</v>
      </c>
      <c r="AA505" s="28" t="s">
        <v>424</v>
      </c>
      <c r="AB505" s="28" t="s">
        <v>424</v>
      </c>
      <c r="AC505" s="28" t="s">
        <v>705</v>
      </c>
      <c r="AD505" s="28" t="s">
        <v>285</v>
      </c>
    </row>
    <row r="506" spans="4:30" x14ac:dyDescent="0.25">
      <c r="D506" s="28" t="s">
        <v>452</v>
      </c>
      <c r="F506" s="28" t="s">
        <v>297</v>
      </c>
      <c r="G506" s="28" t="s">
        <v>462</v>
      </c>
      <c r="H506" s="28" t="s">
        <v>773</v>
      </c>
      <c r="J506" s="28" t="s">
        <v>783</v>
      </c>
      <c r="K506" s="28" t="s">
        <v>636</v>
      </c>
      <c r="L506" s="28" t="s">
        <v>886</v>
      </c>
      <c r="M506" s="28" t="s">
        <v>225</v>
      </c>
      <c r="O506" s="28" t="s">
        <v>809</v>
      </c>
      <c r="P506" s="28" t="s">
        <v>779</v>
      </c>
      <c r="W506" s="28" t="s">
        <v>254</v>
      </c>
      <c r="X506" s="28" t="s">
        <v>1830</v>
      </c>
      <c r="AC506" s="28" t="s">
        <v>1963</v>
      </c>
    </row>
    <row r="507" spans="4:30" x14ac:dyDescent="0.25">
      <c r="E507" s="28" t="s">
        <v>479</v>
      </c>
      <c r="F507" s="28" t="s">
        <v>466</v>
      </c>
      <c r="G507" s="28" t="s">
        <v>463</v>
      </c>
      <c r="H507" s="28" t="s">
        <v>780</v>
      </c>
      <c r="I507" s="28" t="s">
        <v>847</v>
      </c>
      <c r="M507" s="28" t="s">
        <v>731</v>
      </c>
      <c r="N507" s="28" t="s">
        <v>1005</v>
      </c>
      <c r="O507" s="28" t="s">
        <v>810</v>
      </c>
      <c r="Q507" s="28" t="s">
        <v>724</v>
      </c>
      <c r="R507" s="28" t="s">
        <v>837</v>
      </c>
      <c r="W507" s="28" t="s">
        <v>253</v>
      </c>
      <c r="X507" s="28" t="s">
        <v>1831</v>
      </c>
      <c r="Y507" s="28" t="s">
        <v>326</v>
      </c>
      <c r="Z507" s="28" t="s">
        <v>160</v>
      </c>
      <c r="AA507" s="28" t="s">
        <v>419</v>
      </c>
      <c r="AB507" s="28" t="s">
        <v>419</v>
      </c>
      <c r="AD507" s="28" t="s">
        <v>921</v>
      </c>
    </row>
    <row r="508" spans="4:30" x14ac:dyDescent="0.25">
      <c r="D508" s="28" t="s">
        <v>453</v>
      </c>
      <c r="F508" s="28" t="s">
        <v>467</v>
      </c>
      <c r="G508" s="28" t="s">
        <v>464</v>
      </c>
      <c r="H508" s="28" t="s">
        <v>801</v>
      </c>
      <c r="I508" s="28" t="s">
        <v>848</v>
      </c>
      <c r="J508" s="28" t="s">
        <v>424</v>
      </c>
      <c r="K508" s="28" t="s">
        <v>637</v>
      </c>
      <c r="L508" s="28" t="s">
        <v>205</v>
      </c>
      <c r="M508" s="28" t="s">
        <v>732</v>
      </c>
      <c r="N508" s="28" t="s">
        <v>1006</v>
      </c>
      <c r="O508" s="28" t="s">
        <v>811</v>
      </c>
      <c r="P508" s="28" t="s">
        <v>786</v>
      </c>
      <c r="Q508" s="28" t="s">
        <v>725</v>
      </c>
      <c r="X508" s="28" t="s">
        <v>1832</v>
      </c>
      <c r="Y508" s="28" t="s">
        <v>899</v>
      </c>
      <c r="AC508" s="28" t="s">
        <v>1891</v>
      </c>
    </row>
    <row r="509" spans="4:30" x14ac:dyDescent="0.25">
      <c r="E509" s="28" t="s">
        <v>419</v>
      </c>
      <c r="F509" s="28" t="s">
        <v>468</v>
      </c>
      <c r="G509" s="28" t="s">
        <v>465</v>
      </c>
      <c r="H509" s="28" t="s">
        <v>774</v>
      </c>
      <c r="K509" s="28" t="s">
        <v>638</v>
      </c>
      <c r="M509" s="28" t="s">
        <v>732</v>
      </c>
      <c r="O509" s="28" t="s">
        <v>812</v>
      </c>
      <c r="R509" s="28" t="s">
        <v>849</v>
      </c>
      <c r="W509" s="28" t="s">
        <v>254</v>
      </c>
      <c r="X509" s="28" t="s">
        <v>1833</v>
      </c>
      <c r="Z509" s="28" t="s">
        <v>285</v>
      </c>
      <c r="AA509" s="28" t="s">
        <v>433</v>
      </c>
      <c r="AB509" s="28" t="s">
        <v>433</v>
      </c>
      <c r="AD509" s="28" t="s">
        <v>285</v>
      </c>
    </row>
    <row r="510" spans="4:30" x14ac:dyDescent="0.25">
      <c r="D510" s="28" t="s">
        <v>454</v>
      </c>
      <c r="E510" s="28" t="s">
        <v>285</v>
      </c>
      <c r="F510" s="28" t="s">
        <v>469</v>
      </c>
      <c r="H510" s="28" t="s">
        <v>802</v>
      </c>
      <c r="I510" s="28" t="s">
        <v>849</v>
      </c>
      <c r="J510" s="28" t="s">
        <v>73</v>
      </c>
      <c r="K510" s="28" t="s">
        <v>639</v>
      </c>
      <c r="L510" s="28" t="s">
        <v>887</v>
      </c>
      <c r="N510" s="28" t="s">
        <v>1207</v>
      </c>
      <c r="O510" s="28" t="s">
        <v>809</v>
      </c>
      <c r="P510" s="28" t="s">
        <v>786</v>
      </c>
      <c r="Q510" s="28" t="s">
        <v>726</v>
      </c>
      <c r="R510" s="28" t="s">
        <v>850</v>
      </c>
      <c r="W510" s="28" t="s">
        <v>255</v>
      </c>
      <c r="X510" s="28" t="s">
        <v>1834</v>
      </c>
      <c r="Y510" s="28" t="s">
        <v>43</v>
      </c>
      <c r="AC510" s="28" t="s">
        <v>880</v>
      </c>
    </row>
    <row r="511" spans="4:30" x14ac:dyDescent="0.25">
      <c r="F511" s="28" t="s">
        <v>470</v>
      </c>
      <c r="G511" s="28" t="s">
        <v>295</v>
      </c>
      <c r="H511" s="28" t="s">
        <v>775</v>
      </c>
      <c r="I511" s="28" t="s">
        <v>850</v>
      </c>
      <c r="J511" s="28" t="s">
        <v>43</v>
      </c>
      <c r="K511" s="28" t="s">
        <v>640</v>
      </c>
      <c r="L511" s="28" t="s">
        <v>888</v>
      </c>
      <c r="M511" s="28" t="s">
        <v>723</v>
      </c>
      <c r="O511" s="28" t="s">
        <v>813</v>
      </c>
      <c r="Q511" s="28" t="s">
        <v>727</v>
      </c>
      <c r="R511" s="28" t="s">
        <v>1501</v>
      </c>
      <c r="W511" s="28" t="s">
        <v>248</v>
      </c>
      <c r="X511" s="28" t="s">
        <v>1835</v>
      </c>
      <c r="Z511" s="28" t="s">
        <v>243</v>
      </c>
      <c r="AA511" s="28" t="s">
        <v>244</v>
      </c>
      <c r="AB511" s="28" t="s">
        <v>244</v>
      </c>
      <c r="AC511" s="28" t="s">
        <v>881</v>
      </c>
      <c r="AD511" s="28" t="s">
        <v>962</v>
      </c>
    </row>
    <row r="512" spans="4:30" x14ac:dyDescent="0.25">
      <c r="D512" s="28" t="s">
        <v>455</v>
      </c>
      <c r="E512" s="28" t="s">
        <v>545</v>
      </c>
      <c r="F512" s="28" t="s">
        <v>471</v>
      </c>
      <c r="K512" s="28" t="s">
        <v>641</v>
      </c>
      <c r="L512" s="28" t="s">
        <v>1120</v>
      </c>
      <c r="N512" s="28" t="s">
        <v>1173</v>
      </c>
      <c r="O512" s="28" t="s">
        <v>811</v>
      </c>
      <c r="P512" s="28" t="s">
        <v>77</v>
      </c>
      <c r="R512" s="28" t="s">
        <v>1502</v>
      </c>
      <c r="W512" s="28" t="s">
        <v>246</v>
      </c>
      <c r="X512" s="28" t="s">
        <v>1836</v>
      </c>
      <c r="Y512" s="28" t="s">
        <v>906</v>
      </c>
      <c r="AC512" s="28" t="s">
        <v>882</v>
      </c>
    </row>
    <row r="513" spans="4:30" x14ac:dyDescent="0.25">
      <c r="F513" s="28" t="s">
        <v>472</v>
      </c>
      <c r="G513" s="28" t="s">
        <v>303</v>
      </c>
      <c r="H513" s="28" t="s">
        <v>778</v>
      </c>
      <c r="I513" s="28" t="s">
        <v>830</v>
      </c>
      <c r="J513" s="28" t="s">
        <v>784</v>
      </c>
      <c r="K513" s="28" t="s">
        <v>642</v>
      </c>
      <c r="M513" s="28" t="s">
        <v>724</v>
      </c>
      <c r="O513" s="28" t="s">
        <v>814</v>
      </c>
      <c r="Q513" s="28" t="s">
        <v>703</v>
      </c>
      <c r="W513" s="28" t="s">
        <v>256</v>
      </c>
      <c r="X513" s="28" t="s">
        <v>1837</v>
      </c>
      <c r="Y513" s="28" t="s">
        <v>907</v>
      </c>
      <c r="Z513" s="28" t="s">
        <v>433</v>
      </c>
      <c r="AA513" s="28" t="s">
        <v>891</v>
      </c>
      <c r="AB513" s="28" t="s">
        <v>809</v>
      </c>
      <c r="AD513" s="28" t="s">
        <v>562</v>
      </c>
    </row>
    <row r="514" spans="4:30" x14ac:dyDescent="0.25">
      <c r="D514" s="28" t="s">
        <v>215</v>
      </c>
      <c r="E514" s="28" t="s">
        <v>160</v>
      </c>
      <c r="F514" s="28" t="s">
        <v>473</v>
      </c>
      <c r="I514" s="28" t="s">
        <v>831</v>
      </c>
      <c r="J514" s="28" t="s">
        <v>785</v>
      </c>
      <c r="K514" s="28" t="s">
        <v>643</v>
      </c>
      <c r="L514" s="28" t="s">
        <v>889</v>
      </c>
      <c r="M514" s="28" t="s">
        <v>725</v>
      </c>
      <c r="N514" s="28" t="s">
        <v>419</v>
      </c>
      <c r="O514" s="28" t="s">
        <v>815</v>
      </c>
      <c r="P514" s="28" t="s">
        <v>1369</v>
      </c>
      <c r="Q514" s="28" t="s">
        <v>728</v>
      </c>
      <c r="R514" s="28" t="s">
        <v>834</v>
      </c>
      <c r="X514" s="28" t="s">
        <v>636</v>
      </c>
      <c r="AA514" s="28" t="s">
        <v>892</v>
      </c>
      <c r="AB514" s="28" t="s">
        <v>810</v>
      </c>
      <c r="AC514" s="28" t="s">
        <v>883</v>
      </c>
    </row>
    <row r="515" spans="4:30" x14ac:dyDescent="0.25">
      <c r="E515" s="28" t="s">
        <v>160</v>
      </c>
      <c r="G515" s="28" t="s">
        <v>296</v>
      </c>
      <c r="H515" s="28" t="s">
        <v>777</v>
      </c>
      <c r="K515" s="28" t="s">
        <v>644</v>
      </c>
      <c r="L515" s="28" t="s">
        <v>1120</v>
      </c>
      <c r="N515" s="28" t="s">
        <v>243</v>
      </c>
      <c r="O515" s="28" t="s">
        <v>809</v>
      </c>
      <c r="P515" s="28" t="s">
        <v>1370</v>
      </c>
      <c r="Q515" s="28" t="s">
        <v>729</v>
      </c>
      <c r="R515" s="28" t="s">
        <v>835</v>
      </c>
      <c r="W515" s="28" t="s">
        <v>265</v>
      </c>
      <c r="X515" s="28" t="s">
        <v>1838</v>
      </c>
      <c r="Y515" s="28" t="s">
        <v>212</v>
      </c>
      <c r="Z515" s="28" t="s">
        <v>160</v>
      </c>
      <c r="AB515" s="28" t="s">
        <v>811</v>
      </c>
      <c r="AD515" s="28" t="s">
        <v>285</v>
      </c>
    </row>
    <row r="516" spans="4:30" x14ac:dyDescent="0.25">
      <c r="D516" s="28" t="s">
        <v>456</v>
      </c>
      <c r="F516" s="28" t="s">
        <v>304</v>
      </c>
      <c r="G516" s="28" t="s">
        <v>297</v>
      </c>
      <c r="I516" s="28" t="s">
        <v>832</v>
      </c>
      <c r="J516" s="28" t="s">
        <v>780</v>
      </c>
      <c r="K516" s="28" t="s">
        <v>645</v>
      </c>
      <c r="M516" s="28" t="s">
        <v>734</v>
      </c>
      <c r="N516" s="28" t="s">
        <v>160</v>
      </c>
      <c r="O516" s="28" t="s">
        <v>816</v>
      </c>
      <c r="Q516" s="28" t="s">
        <v>730</v>
      </c>
      <c r="W516" s="28" t="s">
        <v>266</v>
      </c>
      <c r="X516" s="28" t="s">
        <v>1839</v>
      </c>
      <c r="AA516" s="28" t="s">
        <v>779</v>
      </c>
      <c r="AB516" s="28" t="s">
        <v>812</v>
      </c>
      <c r="AC516" s="28" t="s">
        <v>884</v>
      </c>
      <c r="AD516" s="28" t="s">
        <v>160</v>
      </c>
    </row>
    <row r="517" spans="4:30" x14ac:dyDescent="0.25">
      <c r="E517" s="28" t="s">
        <v>408</v>
      </c>
      <c r="G517" s="28" t="s">
        <v>466</v>
      </c>
      <c r="H517" s="28" t="s">
        <v>779</v>
      </c>
      <c r="I517" s="28" t="s">
        <v>833</v>
      </c>
      <c r="J517" s="28" t="s">
        <v>786</v>
      </c>
      <c r="K517" s="28" t="s">
        <v>646</v>
      </c>
      <c r="L517" s="28" t="s">
        <v>1122</v>
      </c>
      <c r="M517" s="28" t="s">
        <v>1083</v>
      </c>
      <c r="P517" s="28" t="s">
        <v>803</v>
      </c>
      <c r="Q517" s="28" t="s">
        <v>225</v>
      </c>
      <c r="R517" s="28" t="s">
        <v>1503</v>
      </c>
      <c r="W517" s="28" t="s">
        <v>267</v>
      </c>
      <c r="X517" s="28" t="s">
        <v>1840</v>
      </c>
      <c r="Y517" s="28" t="s">
        <v>908</v>
      </c>
      <c r="Z517" s="28" t="s">
        <v>891</v>
      </c>
      <c r="AA517" s="28" t="s">
        <v>778</v>
      </c>
      <c r="AB517" s="28" t="s">
        <v>809</v>
      </c>
    </row>
    <row r="518" spans="4:30" x14ac:dyDescent="0.25">
      <c r="D518" s="28" t="s">
        <v>457</v>
      </c>
      <c r="F518" s="28" t="s">
        <v>305</v>
      </c>
      <c r="G518" s="28" t="s">
        <v>467</v>
      </c>
      <c r="K518" s="28" t="s">
        <v>647</v>
      </c>
      <c r="M518" s="28" t="s">
        <v>736</v>
      </c>
      <c r="N518" s="28" t="s">
        <v>212</v>
      </c>
      <c r="O518" s="28" t="s">
        <v>909</v>
      </c>
      <c r="P518" s="28" t="s">
        <v>346</v>
      </c>
      <c r="Q518" s="28" t="s">
        <v>225</v>
      </c>
      <c r="R518" s="28" t="s">
        <v>1336</v>
      </c>
      <c r="W518" s="28" t="s">
        <v>268</v>
      </c>
      <c r="X518" s="28" t="s">
        <v>1841</v>
      </c>
      <c r="Z518" s="28" t="s">
        <v>892</v>
      </c>
      <c r="AB518" s="28" t="s">
        <v>813</v>
      </c>
      <c r="AC518" s="28" t="s">
        <v>885</v>
      </c>
      <c r="AD518" s="28" t="s">
        <v>422</v>
      </c>
    </row>
    <row r="519" spans="4:30" x14ac:dyDescent="0.25">
      <c r="E519" s="28" t="s">
        <v>551</v>
      </c>
      <c r="G519" s="28" t="s">
        <v>468</v>
      </c>
      <c r="H519" s="28" t="s">
        <v>780</v>
      </c>
      <c r="I519" s="28" t="s">
        <v>834</v>
      </c>
      <c r="J519" s="28" t="s">
        <v>787</v>
      </c>
      <c r="K519" s="28" t="s">
        <v>648</v>
      </c>
      <c r="L519" s="28" t="s">
        <v>160</v>
      </c>
      <c r="M519" s="28" t="s">
        <v>737</v>
      </c>
      <c r="N519" s="28" t="s">
        <v>212</v>
      </c>
      <c r="O519" s="28" t="s">
        <v>910</v>
      </c>
      <c r="Q519" s="28" t="s">
        <v>225</v>
      </c>
      <c r="W519" s="28" t="s">
        <v>269</v>
      </c>
      <c r="X519" s="28" t="s">
        <v>1842</v>
      </c>
      <c r="Y519" s="28" t="s">
        <v>809</v>
      </c>
      <c r="AA519" s="28" t="s">
        <v>1949</v>
      </c>
      <c r="AB519" s="28" t="s">
        <v>811</v>
      </c>
    </row>
    <row r="520" spans="4:30" x14ac:dyDescent="0.25">
      <c r="D520" s="28" t="s">
        <v>286</v>
      </c>
      <c r="F520" s="28" t="s">
        <v>306</v>
      </c>
      <c r="G520" s="28" t="s">
        <v>469</v>
      </c>
      <c r="I520" s="28" t="s">
        <v>835</v>
      </c>
      <c r="K520" s="28" t="s">
        <v>649</v>
      </c>
      <c r="M520" s="28" t="s">
        <v>737</v>
      </c>
      <c r="P520" s="28" t="s">
        <v>804</v>
      </c>
      <c r="Q520" s="28" t="s">
        <v>225</v>
      </c>
      <c r="R520" s="28" t="s">
        <v>861</v>
      </c>
      <c r="W520" s="28" t="s">
        <v>270</v>
      </c>
      <c r="X520" s="28" t="s">
        <v>1843</v>
      </c>
      <c r="Y520" s="28" t="s">
        <v>810</v>
      </c>
      <c r="Z520" s="28" t="s">
        <v>779</v>
      </c>
      <c r="AB520" s="28" t="s">
        <v>814</v>
      </c>
      <c r="AC520" s="28" t="s">
        <v>687</v>
      </c>
      <c r="AD520" s="28" t="s">
        <v>160</v>
      </c>
    </row>
    <row r="521" spans="4:30" x14ac:dyDescent="0.25">
      <c r="E521" s="28" t="s">
        <v>552</v>
      </c>
      <c r="G521" s="28" t="s">
        <v>470</v>
      </c>
      <c r="H521" s="28" t="s">
        <v>780</v>
      </c>
      <c r="J521" s="28" t="s">
        <v>788</v>
      </c>
      <c r="K521" s="28" t="s">
        <v>650</v>
      </c>
      <c r="L521" s="28" t="s">
        <v>243</v>
      </c>
      <c r="N521" s="28" t="s">
        <v>809</v>
      </c>
      <c r="O521" s="28" t="s">
        <v>810</v>
      </c>
      <c r="Q521" s="28" t="s">
        <v>225</v>
      </c>
      <c r="R521" s="28" t="s">
        <v>498</v>
      </c>
      <c r="W521" s="28" t="s">
        <v>268</v>
      </c>
      <c r="X521" s="28" t="s">
        <v>1844</v>
      </c>
      <c r="Y521" s="28" t="s">
        <v>811</v>
      </c>
      <c r="Z521" s="28" t="s">
        <v>778</v>
      </c>
      <c r="AA521" s="28" t="s">
        <v>785</v>
      </c>
      <c r="AB521" s="28" t="s">
        <v>815</v>
      </c>
      <c r="AC521" s="28" t="s">
        <v>1961</v>
      </c>
      <c r="AD521" s="28" t="s">
        <v>422</v>
      </c>
    </row>
    <row r="522" spans="4:30" x14ac:dyDescent="0.25">
      <c r="D522" s="28" t="s">
        <v>287</v>
      </c>
      <c r="F522" s="28" t="s">
        <v>307</v>
      </c>
      <c r="G522" s="28" t="s">
        <v>471</v>
      </c>
      <c r="I522" s="28" t="s">
        <v>837</v>
      </c>
      <c r="J522" s="28" t="s">
        <v>788</v>
      </c>
      <c r="K522" s="28" t="s">
        <v>651</v>
      </c>
      <c r="L522" s="28" t="s">
        <v>160</v>
      </c>
      <c r="M522" s="28" t="s">
        <v>726</v>
      </c>
      <c r="N522" s="28" t="s">
        <v>810</v>
      </c>
      <c r="P522" s="28" t="s">
        <v>805</v>
      </c>
      <c r="Q522" s="28" t="s">
        <v>225</v>
      </c>
      <c r="R522" s="28" t="s">
        <v>1337</v>
      </c>
      <c r="W522" s="28" t="s">
        <v>267</v>
      </c>
      <c r="X522" s="28" t="s">
        <v>1845</v>
      </c>
      <c r="Y522" s="28" t="s">
        <v>812</v>
      </c>
      <c r="AB522" s="28" t="s">
        <v>809</v>
      </c>
      <c r="AD522" s="28" t="s">
        <v>160</v>
      </c>
    </row>
    <row r="523" spans="4:30" x14ac:dyDescent="0.25">
      <c r="D523" s="28" t="s">
        <v>288</v>
      </c>
      <c r="E523" s="28" t="s">
        <v>553</v>
      </c>
      <c r="F523" s="28" t="s">
        <v>308</v>
      </c>
      <c r="G523" s="28" t="s">
        <v>472</v>
      </c>
      <c r="H523" s="28" t="s">
        <v>758</v>
      </c>
      <c r="L523" s="28" t="s">
        <v>424</v>
      </c>
      <c r="M523" s="28" t="s">
        <v>727</v>
      </c>
      <c r="N523" s="28" t="s">
        <v>811</v>
      </c>
      <c r="O523" s="28" t="s">
        <v>811</v>
      </c>
      <c r="Q523" s="28" t="s">
        <v>225</v>
      </c>
      <c r="W523" s="28" t="s">
        <v>269</v>
      </c>
      <c r="X523" s="28" t="s">
        <v>1846</v>
      </c>
      <c r="Y523" s="28" t="s">
        <v>809</v>
      </c>
      <c r="Z523" s="28" t="s">
        <v>1915</v>
      </c>
      <c r="AA523" s="28" t="s">
        <v>894</v>
      </c>
      <c r="AB523" s="28" t="s">
        <v>816</v>
      </c>
      <c r="AC523" s="28" t="s">
        <v>886</v>
      </c>
    </row>
    <row r="524" spans="4:30" x14ac:dyDescent="0.25">
      <c r="F524" s="28" t="s">
        <v>309</v>
      </c>
      <c r="G524" s="28" t="s">
        <v>473</v>
      </c>
      <c r="I524" s="28" t="s">
        <v>838</v>
      </c>
      <c r="J524" s="28" t="s">
        <v>789</v>
      </c>
      <c r="K524" s="28" t="s">
        <v>82</v>
      </c>
      <c r="N524" s="28" t="s">
        <v>812</v>
      </c>
      <c r="O524" s="28" t="s">
        <v>820</v>
      </c>
      <c r="P524" s="28" t="s">
        <v>363</v>
      </c>
      <c r="Q524" s="28" t="s">
        <v>1442</v>
      </c>
      <c r="R524" s="28" t="s">
        <v>1338</v>
      </c>
      <c r="Y524" s="28" t="s">
        <v>813</v>
      </c>
      <c r="AD524" s="28" t="s">
        <v>160</v>
      </c>
    </row>
    <row r="525" spans="4:30" x14ac:dyDescent="0.25">
      <c r="D525" s="28" t="s">
        <v>289</v>
      </c>
      <c r="E525" s="28" t="s">
        <v>552</v>
      </c>
      <c r="F525" s="28" t="s">
        <v>310</v>
      </c>
      <c r="H525" s="28" t="s">
        <v>803</v>
      </c>
      <c r="K525" s="28" t="s">
        <v>73</v>
      </c>
      <c r="L525" s="28" t="s">
        <v>378</v>
      </c>
      <c r="M525" s="28" t="s">
        <v>738</v>
      </c>
      <c r="N525" s="28" t="s">
        <v>809</v>
      </c>
      <c r="O525" s="28" t="s">
        <v>821</v>
      </c>
      <c r="R525" s="28" t="s">
        <v>501</v>
      </c>
      <c r="W525" s="28" t="s">
        <v>271</v>
      </c>
      <c r="X525" s="28" t="s">
        <v>1633</v>
      </c>
      <c r="Y525" s="28" t="s">
        <v>811</v>
      </c>
      <c r="Z525" s="28" t="s">
        <v>1916</v>
      </c>
      <c r="AA525" s="28" t="s">
        <v>895</v>
      </c>
      <c r="AB525" s="28" t="s">
        <v>909</v>
      </c>
      <c r="AC525" s="28" t="s">
        <v>205</v>
      </c>
    </row>
    <row r="526" spans="4:30" x14ac:dyDescent="0.25">
      <c r="F526" s="28" t="s">
        <v>311</v>
      </c>
      <c r="G526" s="28" t="s">
        <v>304</v>
      </c>
      <c r="H526" s="28" t="s">
        <v>346</v>
      </c>
      <c r="I526" s="28" t="s">
        <v>836</v>
      </c>
      <c r="J526" s="28" t="s">
        <v>777</v>
      </c>
      <c r="K526" s="28" t="s">
        <v>43</v>
      </c>
      <c r="M526" s="28" t="s">
        <v>738</v>
      </c>
      <c r="N526" s="28" t="s">
        <v>813</v>
      </c>
      <c r="P526" s="28" t="s">
        <v>160</v>
      </c>
      <c r="Q526" s="28" t="s">
        <v>734</v>
      </c>
      <c r="R526" s="28" t="s">
        <v>501</v>
      </c>
      <c r="Y526" s="28" t="s">
        <v>814</v>
      </c>
      <c r="AB526" s="28" t="s">
        <v>910</v>
      </c>
      <c r="AD526" s="28" t="s">
        <v>212</v>
      </c>
    </row>
    <row r="527" spans="4:30" x14ac:dyDescent="0.25">
      <c r="D527" s="28" t="s">
        <v>458</v>
      </c>
      <c r="E527" s="28" t="s">
        <v>554</v>
      </c>
      <c r="F527" s="28" t="s">
        <v>312</v>
      </c>
      <c r="J527" s="28" t="s">
        <v>777</v>
      </c>
      <c r="L527" s="28" t="s">
        <v>977</v>
      </c>
      <c r="M527" s="28" t="s">
        <v>738</v>
      </c>
      <c r="N527" s="28" t="s">
        <v>811</v>
      </c>
      <c r="O527" s="28" t="s">
        <v>811</v>
      </c>
      <c r="Q527" s="28" t="s">
        <v>1443</v>
      </c>
      <c r="W527" s="28" t="s">
        <v>254</v>
      </c>
      <c r="X527" s="28" t="s">
        <v>311</v>
      </c>
      <c r="Y527" s="28" t="s">
        <v>815</v>
      </c>
      <c r="Z527" s="28" t="s">
        <v>1866</v>
      </c>
      <c r="AA527" s="28" t="s">
        <v>896</v>
      </c>
      <c r="AC527" s="28" t="s">
        <v>887</v>
      </c>
    </row>
    <row r="528" spans="4:30" x14ac:dyDescent="0.25">
      <c r="D528" s="28" t="s">
        <v>459</v>
      </c>
      <c r="G528" s="28" t="s">
        <v>305</v>
      </c>
      <c r="H528" s="28" t="s">
        <v>804</v>
      </c>
      <c r="I528" s="28" t="s">
        <v>861</v>
      </c>
      <c r="K528" s="28" t="s">
        <v>784</v>
      </c>
      <c r="M528" s="28" t="s">
        <v>738</v>
      </c>
      <c r="N528" s="28" t="s">
        <v>814</v>
      </c>
      <c r="O528" s="28" t="s">
        <v>822</v>
      </c>
      <c r="P528" s="28" t="s">
        <v>244</v>
      </c>
      <c r="Q528" s="28" t="s">
        <v>1083</v>
      </c>
      <c r="R528" s="28" t="s">
        <v>845</v>
      </c>
      <c r="X528" s="28" t="s">
        <v>309</v>
      </c>
      <c r="Y528" s="28" t="s">
        <v>809</v>
      </c>
      <c r="AB528" s="28" t="s">
        <v>810</v>
      </c>
      <c r="AC528" s="28" t="s">
        <v>888</v>
      </c>
      <c r="AD528" s="28" t="s">
        <v>1982</v>
      </c>
    </row>
    <row r="529" spans="4:30" x14ac:dyDescent="0.25">
      <c r="D529" s="28" t="s">
        <v>460</v>
      </c>
      <c r="E529" s="28" t="s">
        <v>552</v>
      </c>
      <c r="F529" s="28" t="s">
        <v>313</v>
      </c>
      <c r="J529" s="28" t="s">
        <v>790</v>
      </c>
      <c r="K529" s="28" t="s">
        <v>785</v>
      </c>
      <c r="L529" s="28" t="s">
        <v>1122</v>
      </c>
      <c r="N529" s="28" t="s">
        <v>815</v>
      </c>
      <c r="O529" s="28" t="s">
        <v>811</v>
      </c>
      <c r="Q529" s="28" t="s">
        <v>1083</v>
      </c>
      <c r="R529" s="28" t="s">
        <v>846</v>
      </c>
      <c r="W529" s="28" t="s">
        <v>272</v>
      </c>
      <c r="X529" s="28" t="s">
        <v>1847</v>
      </c>
      <c r="Y529" s="28" t="s">
        <v>816</v>
      </c>
      <c r="Z529" s="28" t="s">
        <v>1886</v>
      </c>
      <c r="AA529" s="28" t="s">
        <v>897</v>
      </c>
      <c r="AC529" s="28" t="s">
        <v>1966</v>
      </c>
    </row>
    <row r="530" spans="4:30" x14ac:dyDescent="0.25">
      <c r="D530" s="28" t="s">
        <v>461</v>
      </c>
      <c r="F530" s="28" t="s">
        <v>314</v>
      </c>
      <c r="G530" s="28" t="s">
        <v>306</v>
      </c>
      <c r="H530" s="28" t="s">
        <v>805</v>
      </c>
      <c r="I530" s="28" t="s">
        <v>839</v>
      </c>
      <c r="J530" s="28" t="s">
        <v>791</v>
      </c>
      <c r="M530" s="28" t="s">
        <v>1154</v>
      </c>
      <c r="N530" s="28" t="s">
        <v>809</v>
      </c>
      <c r="P530" s="28" t="s">
        <v>808</v>
      </c>
      <c r="Q530" s="28" t="s">
        <v>1083</v>
      </c>
      <c r="W530" s="28" t="s">
        <v>273</v>
      </c>
      <c r="AB530" s="28" t="s">
        <v>811</v>
      </c>
      <c r="AD530" s="28" t="s">
        <v>1981</v>
      </c>
    </row>
    <row r="531" spans="4:30" x14ac:dyDescent="0.25">
      <c r="D531" s="28" t="s">
        <v>462</v>
      </c>
      <c r="E531" s="28" t="s">
        <v>555</v>
      </c>
      <c r="I531" s="28" t="s">
        <v>840</v>
      </c>
      <c r="K531" s="28" t="s">
        <v>972</v>
      </c>
      <c r="L531" s="28" t="s">
        <v>809</v>
      </c>
      <c r="N531" s="28" t="s">
        <v>816</v>
      </c>
      <c r="O531" s="28" t="s">
        <v>911</v>
      </c>
      <c r="Q531" s="28" t="s">
        <v>1083</v>
      </c>
      <c r="R531" s="28" t="s">
        <v>502</v>
      </c>
      <c r="W531" s="28" t="s">
        <v>274</v>
      </c>
      <c r="X531" s="28" t="s">
        <v>326</v>
      </c>
      <c r="Y531" s="28" t="s">
        <v>909</v>
      </c>
      <c r="Z531" s="28" t="s">
        <v>905</v>
      </c>
      <c r="AA531" s="28" t="s">
        <v>898</v>
      </c>
      <c r="AB531" s="28" t="s">
        <v>820</v>
      </c>
      <c r="AC531" s="28" t="s">
        <v>889</v>
      </c>
    </row>
    <row r="532" spans="4:30" x14ac:dyDescent="0.25">
      <c r="D532" s="28" t="s">
        <v>463</v>
      </c>
      <c r="F532" s="28" t="s">
        <v>315</v>
      </c>
      <c r="G532" s="28" t="s">
        <v>307</v>
      </c>
      <c r="H532" s="28" t="s">
        <v>363</v>
      </c>
      <c r="J532" s="28" t="s">
        <v>792</v>
      </c>
      <c r="K532" s="28" t="s">
        <v>780</v>
      </c>
      <c r="L532" s="28" t="s">
        <v>810</v>
      </c>
      <c r="M532" s="28" t="s">
        <v>716</v>
      </c>
      <c r="P532" s="28" t="s">
        <v>1371</v>
      </c>
      <c r="Q532" s="28" t="s">
        <v>1083</v>
      </c>
      <c r="R532" s="28" t="s">
        <v>502</v>
      </c>
      <c r="W532" s="28" t="s">
        <v>266</v>
      </c>
      <c r="X532" s="28" t="s">
        <v>1635</v>
      </c>
      <c r="Y532" s="28" t="s">
        <v>910</v>
      </c>
      <c r="Z532" s="28" t="s">
        <v>1905</v>
      </c>
      <c r="AB532" s="28" t="s">
        <v>821</v>
      </c>
      <c r="AC532" s="28" t="s">
        <v>1966</v>
      </c>
      <c r="AD532" s="28" t="s">
        <v>557</v>
      </c>
    </row>
    <row r="533" spans="4:30" x14ac:dyDescent="0.25">
      <c r="D533" s="28" t="s">
        <v>464</v>
      </c>
      <c r="E533" s="28" t="s">
        <v>556</v>
      </c>
      <c r="G533" s="28" t="s">
        <v>308</v>
      </c>
      <c r="I533" s="28" t="s">
        <v>841</v>
      </c>
      <c r="J533" s="28" t="s">
        <v>792</v>
      </c>
      <c r="K533" s="28" t="s">
        <v>786</v>
      </c>
      <c r="L533" s="28" t="s">
        <v>811</v>
      </c>
      <c r="N533" s="28" t="s">
        <v>909</v>
      </c>
      <c r="O533" s="28" t="s">
        <v>823</v>
      </c>
      <c r="P533" s="28" t="s">
        <v>194</v>
      </c>
      <c r="Q533" s="28" t="s">
        <v>1083</v>
      </c>
      <c r="W533" s="28" t="s">
        <v>275</v>
      </c>
      <c r="X533" s="28" t="s">
        <v>319</v>
      </c>
      <c r="AA533" s="28" t="s">
        <v>899</v>
      </c>
    </row>
    <row r="534" spans="4:30" x14ac:dyDescent="0.25">
      <c r="D534" s="28" t="s">
        <v>465</v>
      </c>
      <c r="F534" s="28" t="s">
        <v>316</v>
      </c>
      <c r="G534" s="28" t="s">
        <v>309</v>
      </c>
      <c r="H534" s="28" t="s">
        <v>160</v>
      </c>
      <c r="I534" s="28" t="s">
        <v>842</v>
      </c>
      <c r="L534" s="28" t="s">
        <v>812</v>
      </c>
      <c r="M534" s="28" t="s">
        <v>1155</v>
      </c>
      <c r="N534" s="28" t="s">
        <v>910</v>
      </c>
      <c r="O534" s="28" t="s">
        <v>809</v>
      </c>
      <c r="R534" s="28" t="s">
        <v>1339</v>
      </c>
      <c r="X534" s="28" t="s">
        <v>317</v>
      </c>
      <c r="Y534" s="28" t="s">
        <v>810</v>
      </c>
      <c r="Z534" s="28" t="s">
        <v>326</v>
      </c>
      <c r="AB534" s="28" t="s">
        <v>811</v>
      </c>
      <c r="AC534" s="28" t="s">
        <v>1965</v>
      </c>
      <c r="AD534" s="28" t="s">
        <v>454</v>
      </c>
    </row>
    <row r="535" spans="4:30" x14ac:dyDescent="0.25">
      <c r="E535" s="28" t="s">
        <v>447</v>
      </c>
      <c r="F535" s="28" t="s">
        <v>316</v>
      </c>
      <c r="G535" s="28" t="s">
        <v>310</v>
      </c>
      <c r="J535" s="28" t="s">
        <v>779</v>
      </c>
      <c r="K535" s="28" t="s">
        <v>787</v>
      </c>
      <c r="L535" s="28" t="s">
        <v>809</v>
      </c>
      <c r="O535" s="28" t="s">
        <v>826</v>
      </c>
      <c r="P535" s="28" t="s">
        <v>190</v>
      </c>
      <c r="Q535" s="28" t="s">
        <v>1355</v>
      </c>
      <c r="R535" s="28" t="s">
        <v>1340</v>
      </c>
      <c r="W535" s="28" t="s">
        <v>1604</v>
      </c>
      <c r="X535" s="28" t="s">
        <v>316</v>
      </c>
      <c r="Z535" s="28" t="s">
        <v>899</v>
      </c>
      <c r="AA535" s="28" t="s">
        <v>900</v>
      </c>
      <c r="AB535" s="28" t="s">
        <v>822</v>
      </c>
    </row>
    <row r="536" spans="4:30" x14ac:dyDescent="0.25">
      <c r="D536" s="28" t="s">
        <v>295</v>
      </c>
      <c r="F536" s="28" t="s">
        <v>317</v>
      </c>
      <c r="G536" s="28" t="s">
        <v>311</v>
      </c>
      <c r="H536" s="28" t="s">
        <v>420</v>
      </c>
      <c r="I536" s="28" t="s">
        <v>843</v>
      </c>
      <c r="J536" s="28" t="s">
        <v>779</v>
      </c>
      <c r="L536" s="28" t="s">
        <v>813</v>
      </c>
      <c r="M536" s="28" t="s">
        <v>1156</v>
      </c>
      <c r="N536" s="28" t="s">
        <v>810</v>
      </c>
      <c r="Q536" s="28" t="s">
        <v>1355</v>
      </c>
      <c r="R536" s="28" t="s">
        <v>1504</v>
      </c>
      <c r="Y536" s="28" t="s">
        <v>811</v>
      </c>
      <c r="AB536" s="28" t="s">
        <v>811</v>
      </c>
      <c r="AC536" s="28" t="s">
        <v>160</v>
      </c>
      <c r="AD536" s="28" t="s">
        <v>419</v>
      </c>
    </row>
    <row r="537" spans="4:30" x14ac:dyDescent="0.25">
      <c r="E537" s="28" t="s">
        <v>448</v>
      </c>
      <c r="F537" s="28" t="s">
        <v>318</v>
      </c>
      <c r="G537" s="28" t="s">
        <v>312</v>
      </c>
      <c r="I537" s="28" t="s">
        <v>844</v>
      </c>
      <c r="K537" s="28" t="s">
        <v>973</v>
      </c>
      <c r="L537" s="28" t="s">
        <v>811</v>
      </c>
      <c r="O537" s="28" t="s">
        <v>827</v>
      </c>
      <c r="P537" s="28" t="s">
        <v>1372</v>
      </c>
      <c r="Q537" s="28" t="s">
        <v>1355</v>
      </c>
      <c r="R537" s="28" t="s">
        <v>1505</v>
      </c>
      <c r="W537" s="28" t="s">
        <v>1711</v>
      </c>
      <c r="X537" s="28" t="s">
        <v>1637</v>
      </c>
      <c r="Y537" s="28" t="s">
        <v>820</v>
      </c>
      <c r="Z537" s="28" t="s">
        <v>43</v>
      </c>
      <c r="AA537" s="28" t="s">
        <v>901</v>
      </c>
      <c r="AD537" s="28" t="s">
        <v>244</v>
      </c>
    </row>
    <row r="538" spans="4:30" x14ac:dyDescent="0.25">
      <c r="D538" s="28" t="s">
        <v>303</v>
      </c>
      <c r="F538" s="28" t="s">
        <v>319</v>
      </c>
      <c r="H538" s="28" t="s">
        <v>77</v>
      </c>
      <c r="J538" s="28" t="s">
        <v>793</v>
      </c>
      <c r="K538" s="28" t="s">
        <v>973</v>
      </c>
      <c r="L538" s="28" t="s">
        <v>814</v>
      </c>
      <c r="M538" s="28" t="s">
        <v>1157</v>
      </c>
      <c r="N538" s="28" t="s">
        <v>811</v>
      </c>
      <c r="O538" s="28" t="s">
        <v>823</v>
      </c>
      <c r="Q538" s="28" t="s">
        <v>1355</v>
      </c>
      <c r="W538" s="28" t="s">
        <v>1712</v>
      </c>
      <c r="Y538" s="28" t="s">
        <v>821</v>
      </c>
      <c r="AB538" s="28" t="s">
        <v>911</v>
      </c>
      <c r="AC538" s="28" t="s">
        <v>1913</v>
      </c>
    </row>
    <row r="539" spans="4:30" x14ac:dyDescent="0.25">
      <c r="E539" s="28" t="s">
        <v>278</v>
      </c>
      <c r="F539" s="28" t="s">
        <v>316</v>
      </c>
      <c r="G539" s="28" t="s">
        <v>313</v>
      </c>
      <c r="I539" s="28" t="s">
        <v>867</v>
      </c>
      <c r="J539" s="28" t="s">
        <v>794</v>
      </c>
      <c r="K539" s="28" t="s">
        <v>973</v>
      </c>
      <c r="L539" s="28" t="s">
        <v>815</v>
      </c>
      <c r="N539" s="28" t="s">
        <v>820</v>
      </c>
      <c r="O539" s="28" t="s">
        <v>809</v>
      </c>
      <c r="P539" s="28" t="s">
        <v>885</v>
      </c>
      <c r="Q539" s="28" t="s">
        <v>1355</v>
      </c>
      <c r="R539" s="28" t="s">
        <v>829</v>
      </c>
      <c r="X539" s="28" t="s">
        <v>1638</v>
      </c>
      <c r="Z539" s="28" t="s">
        <v>906</v>
      </c>
      <c r="AA539" s="28" t="s">
        <v>902</v>
      </c>
      <c r="AC539" s="28" t="s">
        <v>1893</v>
      </c>
      <c r="AD539" s="28" t="s">
        <v>419</v>
      </c>
    </row>
    <row r="540" spans="4:30" x14ac:dyDescent="0.25">
      <c r="D540" s="28" t="s">
        <v>296</v>
      </c>
      <c r="G540" s="28" t="s">
        <v>314</v>
      </c>
      <c r="H540" s="28" t="s">
        <v>806</v>
      </c>
      <c r="I540" s="28" t="s">
        <v>868</v>
      </c>
      <c r="L540" s="28" t="s">
        <v>809</v>
      </c>
      <c r="M540" s="28" t="s">
        <v>1156</v>
      </c>
      <c r="N540" s="28" t="s">
        <v>821</v>
      </c>
      <c r="O540" s="28" t="s">
        <v>976</v>
      </c>
      <c r="Q540" s="28" t="s">
        <v>1355</v>
      </c>
      <c r="W540" s="28" t="s">
        <v>1606</v>
      </c>
      <c r="Y540" s="28" t="s">
        <v>811</v>
      </c>
      <c r="Z540" s="28" t="s">
        <v>907</v>
      </c>
      <c r="AB540" s="28" t="s">
        <v>823</v>
      </c>
      <c r="AD540" s="28" t="s">
        <v>285</v>
      </c>
    </row>
    <row r="541" spans="4:30" x14ac:dyDescent="0.25">
      <c r="D541" s="28" t="s">
        <v>297</v>
      </c>
      <c r="E541" s="28" t="s">
        <v>449</v>
      </c>
      <c r="F541" s="28" t="s">
        <v>320</v>
      </c>
      <c r="H541" s="28" t="s">
        <v>807</v>
      </c>
      <c r="J541" s="28" t="s">
        <v>795</v>
      </c>
      <c r="K541" s="28" t="s">
        <v>789</v>
      </c>
      <c r="L541" s="28" t="s">
        <v>816</v>
      </c>
      <c r="O541" s="28" t="s">
        <v>909</v>
      </c>
      <c r="P541" s="28" t="s">
        <v>687</v>
      </c>
      <c r="Q541" s="28" t="s">
        <v>1355</v>
      </c>
      <c r="R541" s="28" t="s">
        <v>849</v>
      </c>
      <c r="W541" s="28" t="s">
        <v>1713</v>
      </c>
      <c r="X541" s="28" t="s">
        <v>1639</v>
      </c>
      <c r="Y541" s="28" t="s">
        <v>822</v>
      </c>
      <c r="AA541" s="28" t="s">
        <v>903</v>
      </c>
      <c r="AB541" s="28" t="s">
        <v>809</v>
      </c>
      <c r="AC541" s="28" t="s">
        <v>160</v>
      </c>
    </row>
    <row r="542" spans="4:30" x14ac:dyDescent="0.25">
      <c r="D542" s="28" t="s">
        <v>466</v>
      </c>
      <c r="G542" s="28" t="s">
        <v>315</v>
      </c>
      <c r="I542" s="28" t="s">
        <v>845</v>
      </c>
      <c r="J542" s="28" t="s">
        <v>796</v>
      </c>
      <c r="M542" s="28" t="s">
        <v>692</v>
      </c>
      <c r="N542" s="28" t="s">
        <v>811</v>
      </c>
      <c r="R542" s="28" t="s">
        <v>850</v>
      </c>
      <c r="X542" s="28" t="s">
        <v>1640</v>
      </c>
      <c r="Y542" s="28" t="s">
        <v>811</v>
      </c>
      <c r="Z542" s="28" t="s">
        <v>212</v>
      </c>
      <c r="AB542" s="28" t="s">
        <v>826</v>
      </c>
      <c r="AD542" s="28" t="s">
        <v>419</v>
      </c>
    </row>
    <row r="543" spans="4:30" x14ac:dyDescent="0.25">
      <c r="D543" s="28" t="s">
        <v>467</v>
      </c>
      <c r="E543" s="28" t="s">
        <v>450</v>
      </c>
      <c r="F543" s="28" t="s">
        <v>321</v>
      </c>
      <c r="H543" s="28" t="s">
        <v>808</v>
      </c>
      <c r="I543" s="28" t="s">
        <v>846</v>
      </c>
      <c r="K543" s="28" t="s">
        <v>777</v>
      </c>
      <c r="L543" s="28" t="s">
        <v>909</v>
      </c>
      <c r="M543" s="28" t="s">
        <v>693</v>
      </c>
      <c r="N543" s="28" t="s">
        <v>822</v>
      </c>
      <c r="O543" s="28" t="s">
        <v>810</v>
      </c>
      <c r="P543" s="28" t="s">
        <v>1373</v>
      </c>
      <c r="Q543" s="28" t="s">
        <v>1444</v>
      </c>
      <c r="R543" s="28" t="s">
        <v>1506</v>
      </c>
      <c r="W543" s="28" t="s">
        <v>1607</v>
      </c>
      <c r="X543" s="28" t="s">
        <v>1848</v>
      </c>
      <c r="AA543" s="28" t="s">
        <v>1950</v>
      </c>
      <c r="AC543" s="28" t="s">
        <v>433</v>
      </c>
      <c r="AD543" s="28" t="s">
        <v>244</v>
      </c>
    </row>
    <row r="544" spans="4:30" x14ac:dyDescent="0.25">
      <c r="D544" s="28" t="s">
        <v>468</v>
      </c>
      <c r="G544" s="28" t="s">
        <v>316</v>
      </c>
      <c r="J544" s="28" t="s">
        <v>341</v>
      </c>
      <c r="K544" s="28" t="s">
        <v>777</v>
      </c>
      <c r="L544" s="28" t="s">
        <v>910</v>
      </c>
      <c r="N544" s="28" t="s">
        <v>811</v>
      </c>
      <c r="O544" s="28" t="s">
        <v>818</v>
      </c>
      <c r="Y544" s="28" t="s">
        <v>911</v>
      </c>
      <c r="Z544" s="28" t="s">
        <v>908</v>
      </c>
      <c r="AB544" s="28" t="s">
        <v>827</v>
      </c>
    </row>
    <row r="545" spans="4:30" x14ac:dyDescent="0.25">
      <c r="D545" s="28" t="s">
        <v>469</v>
      </c>
      <c r="E545" s="28" t="s">
        <v>451</v>
      </c>
      <c r="F545" s="28" t="s">
        <v>322</v>
      </c>
      <c r="G545" s="28" t="s">
        <v>316</v>
      </c>
      <c r="H545" s="28" t="s">
        <v>809</v>
      </c>
      <c r="I545" s="28" t="s">
        <v>847</v>
      </c>
      <c r="J545" s="28" t="s">
        <v>797</v>
      </c>
      <c r="K545" s="28" t="s">
        <v>777</v>
      </c>
      <c r="M545" s="28" t="s">
        <v>694</v>
      </c>
      <c r="P545" s="28" t="s">
        <v>1344</v>
      </c>
      <c r="Q545" s="28" t="s">
        <v>740</v>
      </c>
      <c r="R545" s="28" t="s">
        <v>834</v>
      </c>
      <c r="W545" s="28" t="s">
        <v>160</v>
      </c>
      <c r="X545" s="28" t="s">
        <v>43</v>
      </c>
      <c r="AA545" s="28" t="s">
        <v>1866</v>
      </c>
      <c r="AB545" s="28" t="s">
        <v>823</v>
      </c>
      <c r="AC545" s="28" t="s">
        <v>243</v>
      </c>
      <c r="AD545" s="28" t="s">
        <v>809</v>
      </c>
    </row>
    <row r="546" spans="4:30" x14ac:dyDescent="0.25">
      <c r="D546" s="28" t="s">
        <v>470</v>
      </c>
      <c r="F546" s="28" t="s">
        <v>323</v>
      </c>
      <c r="G546" s="28" t="s">
        <v>317</v>
      </c>
      <c r="H546" s="28" t="s">
        <v>810</v>
      </c>
      <c r="I546" s="28" t="s">
        <v>848</v>
      </c>
      <c r="J546" s="28" t="s">
        <v>798</v>
      </c>
      <c r="L546" s="28" t="s">
        <v>810</v>
      </c>
      <c r="M546" s="28" t="s">
        <v>695</v>
      </c>
      <c r="N546" s="28" t="s">
        <v>911</v>
      </c>
      <c r="O546" s="28" t="s">
        <v>265</v>
      </c>
      <c r="Q546" s="28" t="s">
        <v>741</v>
      </c>
      <c r="R546" s="28" t="s">
        <v>835</v>
      </c>
      <c r="X546" s="28" t="s">
        <v>326</v>
      </c>
      <c r="Y546" s="28" t="s">
        <v>823</v>
      </c>
      <c r="Z546" s="28" t="s">
        <v>285</v>
      </c>
      <c r="AB546" s="28" t="s">
        <v>809</v>
      </c>
      <c r="AD546" s="28" t="s">
        <v>810</v>
      </c>
    </row>
    <row r="547" spans="4:30" x14ac:dyDescent="0.25">
      <c r="D547" s="28" t="s">
        <v>471</v>
      </c>
      <c r="E547" s="28" t="s">
        <v>452</v>
      </c>
      <c r="G547" s="28" t="s">
        <v>318</v>
      </c>
      <c r="H547" s="28" t="s">
        <v>811</v>
      </c>
      <c r="J547" s="28" t="s">
        <v>799</v>
      </c>
      <c r="K547" s="28" t="s">
        <v>790</v>
      </c>
      <c r="O547" s="28" t="s">
        <v>266</v>
      </c>
      <c r="P547" s="28" t="s">
        <v>1349</v>
      </c>
      <c r="Q547" s="28" t="s">
        <v>742</v>
      </c>
      <c r="W547" s="28" t="s">
        <v>929</v>
      </c>
      <c r="X547" s="28" t="s">
        <v>1642</v>
      </c>
      <c r="Y547" s="28" t="s">
        <v>809</v>
      </c>
      <c r="AA547" s="28" t="s">
        <v>1886</v>
      </c>
      <c r="AC547" s="28" t="s">
        <v>285</v>
      </c>
      <c r="AD547" s="28" t="s">
        <v>811</v>
      </c>
    </row>
    <row r="548" spans="4:30" x14ac:dyDescent="0.25">
      <c r="D548" s="28" t="s">
        <v>472</v>
      </c>
      <c r="F548" s="28" t="s">
        <v>474</v>
      </c>
      <c r="G548" s="28" t="s">
        <v>319</v>
      </c>
      <c r="H548" s="28" t="s">
        <v>812</v>
      </c>
      <c r="I548" s="28" t="s">
        <v>829</v>
      </c>
      <c r="K548" s="28" t="s">
        <v>791</v>
      </c>
      <c r="L548" s="28" t="s">
        <v>811</v>
      </c>
      <c r="M548" s="28" t="s">
        <v>692</v>
      </c>
      <c r="N548" s="28" t="s">
        <v>823</v>
      </c>
      <c r="O548" s="28" t="s">
        <v>267</v>
      </c>
      <c r="Q548" s="28" t="s">
        <v>743</v>
      </c>
      <c r="R548" s="28" t="s">
        <v>1336</v>
      </c>
      <c r="W548" s="28" t="s">
        <v>1264</v>
      </c>
      <c r="Y548" s="28" t="s">
        <v>826</v>
      </c>
      <c r="Z548" s="28" t="s">
        <v>243</v>
      </c>
      <c r="AB548" s="28" t="s">
        <v>912</v>
      </c>
      <c r="AD548" s="28" t="s">
        <v>812</v>
      </c>
    </row>
    <row r="549" spans="4:30" x14ac:dyDescent="0.25">
      <c r="D549" s="28" t="s">
        <v>473</v>
      </c>
      <c r="E549" s="28" t="s">
        <v>453</v>
      </c>
      <c r="F549" s="28" t="s">
        <v>325</v>
      </c>
      <c r="G549" s="28" t="s">
        <v>316</v>
      </c>
      <c r="H549" s="28" t="s">
        <v>809</v>
      </c>
      <c r="J549" s="28" t="s">
        <v>73</v>
      </c>
      <c r="L549" s="28" t="s">
        <v>820</v>
      </c>
      <c r="M549" s="28" t="s">
        <v>696</v>
      </c>
      <c r="N549" s="28" t="s">
        <v>809</v>
      </c>
      <c r="O549" s="28" t="s">
        <v>268</v>
      </c>
      <c r="P549" s="28" t="s">
        <v>1374</v>
      </c>
      <c r="Q549" s="28" t="s">
        <v>744</v>
      </c>
      <c r="W549" s="28" t="s">
        <v>424</v>
      </c>
      <c r="X549" s="28" t="s">
        <v>328</v>
      </c>
      <c r="AA549" s="28" t="s">
        <v>905</v>
      </c>
      <c r="AC549" s="28" t="s">
        <v>1914</v>
      </c>
      <c r="AD549" s="28" t="s">
        <v>809</v>
      </c>
    </row>
    <row r="550" spans="4:30" x14ac:dyDescent="0.25">
      <c r="H550" s="28" t="s">
        <v>813</v>
      </c>
      <c r="I550" s="28" t="s">
        <v>829</v>
      </c>
      <c r="J550" s="28" t="s">
        <v>43</v>
      </c>
      <c r="K550" s="28" t="s">
        <v>792</v>
      </c>
      <c r="L550" s="28" t="s">
        <v>821</v>
      </c>
      <c r="N550" s="28" t="s">
        <v>826</v>
      </c>
      <c r="P550" s="28" t="s">
        <v>882</v>
      </c>
      <c r="R550" s="28" t="s">
        <v>838</v>
      </c>
      <c r="X550" s="28" t="s">
        <v>329</v>
      </c>
      <c r="Y550" s="28" t="s">
        <v>827</v>
      </c>
      <c r="Z550" s="28" t="s">
        <v>433</v>
      </c>
      <c r="AA550" s="28" t="s">
        <v>1944</v>
      </c>
      <c r="AB550" s="28" t="s">
        <v>810</v>
      </c>
      <c r="AC550" s="28" t="s">
        <v>1893</v>
      </c>
      <c r="AD550" s="28" t="s">
        <v>813</v>
      </c>
    </row>
    <row r="551" spans="4:30" x14ac:dyDescent="0.25">
      <c r="D551" s="28" t="s">
        <v>304</v>
      </c>
      <c r="E551" s="28" t="s">
        <v>454</v>
      </c>
      <c r="F551" s="28" t="s">
        <v>43</v>
      </c>
      <c r="G551" s="28" t="s">
        <v>320</v>
      </c>
      <c r="H551" s="28" t="s">
        <v>811</v>
      </c>
      <c r="K551" s="28" t="s">
        <v>792</v>
      </c>
      <c r="M551" s="28" t="s">
        <v>694</v>
      </c>
      <c r="O551" s="28" t="s">
        <v>269</v>
      </c>
      <c r="Q551" s="28" t="s">
        <v>378</v>
      </c>
      <c r="W551" s="28" t="s">
        <v>1678</v>
      </c>
      <c r="Y551" s="28" t="s">
        <v>823</v>
      </c>
      <c r="AB551" s="28" t="s">
        <v>818</v>
      </c>
      <c r="AD551" s="28" t="s">
        <v>811</v>
      </c>
    </row>
    <row r="552" spans="4:30" x14ac:dyDescent="0.25">
      <c r="F552" s="28" t="s">
        <v>326</v>
      </c>
      <c r="H552" s="28" t="s">
        <v>814</v>
      </c>
      <c r="I552" s="28" t="s">
        <v>878</v>
      </c>
      <c r="J552" s="28" t="s">
        <v>780</v>
      </c>
      <c r="K552" s="28" t="s">
        <v>792</v>
      </c>
      <c r="L552" s="28" t="s">
        <v>811</v>
      </c>
      <c r="M552" s="28" t="s">
        <v>697</v>
      </c>
      <c r="N552" s="28" t="s">
        <v>827</v>
      </c>
      <c r="O552" s="28" t="s">
        <v>270</v>
      </c>
      <c r="P552" s="28" t="s">
        <v>205</v>
      </c>
      <c r="Q552" s="28" t="s">
        <v>1357</v>
      </c>
      <c r="R552" s="28" t="s">
        <v>837</v>
      </c>
      <c r="X552" s="28" t="s">
        <v>1849</v>
      </c>
      <c r="Y552" s="28" t="s">
        <v>809</v>
      </c>
      <c r="Z552" s="28" t="s">
        <v>285</v>
      </c>
      <c r="AA552" s="28" t="s">
        <v>326</v>
      </c>
      <c r="AC552" s="28" t="s">
        <v>160</v>
      </c>
      <c r="AD552" s="28" t="s">
        <v>814</v>
      </c>
    </row>
    <row r="553" spans="4:30" x14ac:dyDescent="0.25">
      <c r="D553" s="28" t="s">
        <v>305</v>
      </c>
      <c r="E553" s="28" t="s">
        <v>455</v>
      </c>
      <c r="F553" s="28" t="s">
        <v>327</v>
      </c>
      <c r="G553" s="28" t="s">
        <v>321</v>
      </c>
      <c r="H553" s="28" t="s">
        <v>815</v>
      </c>
      <c r="I553" s="28" t="s">
        <v>705</v>
      </c>
      <c r="J553" s="28" t="s">
        <v>786</v>
      </c>
      <c r="L553" s="28" t="s">
        <v>822</v>
      </c>
      <c r="N553" s="28" t="s">
        <v>823</v>
      </c>
      <c r="O553" s="28" t="s">
        <v>268</v>
      </c>
      <c r="Q553" s="28" t="s">
        <v>1358</v>
      </c>
      <c r="W553" s="28" t="s">
        <v>212</v>
      </c>
      <c r="AA553" s="28" t="s">
        <v>899</v>
      </c>
      <c r="AB553" s="28" t="s">
        <v>891</v>
      </c>
      <c r="AD553" s="28" t="s">
        <v>815</v>
      </c>
    </row>
    <row r="554" spans="4:30" x14ac:dyDescent="0.25">
      <c r="H554" s="28" t="s">
        <v>809</v>
      </c>
      <c r="I554" s="28" t="s">
        <v>950</v>
      </c>
      <c r="J554" s="28" t="s">
        <v>800</v>
      </c>
      <c r="K554" s="28" t="s">
        <v>779</v>
      </c>
      <c r="L554" s="28" t="s">
        <v>811</v>
      </c>
      <c r="M554" s="28" t="s">
        <v>692</v>
      </c>
      <c r="N554" s="28" t="s">
        <v>809</v>
      </c>
      <c r="O554" s="28" t="s">
        <v>267</v>
      </c>
      <c r="P554" s="28" t="s">
        <v>160</v>
      </c>
      <c r="Q554" s="28" t="s">
        <v>378</v>
      </c>
      <c r="R554" s="28" t="s">
        <v>861</v>
      </c>
      <c r="W554" s="28" t="s">
        <v>545</v>
      </c>
      <c r="X554" s="28" t="s">
        <v>973</v>
      </c>
      <c r="Y554" s="28" t="s">
        <v>912</v>
      </c>
      <c r="Z554" s="28" t="s">
        <v>243</v>
      </c>
      <c r="AB554" s="28" t="s">
        <v>892</v>
      </c>
      <c r="AC554" s="28" t="s">
        <v>442</v>
      </c>
      <c r="AD554" s="28" t="s">
        <v>809</v>
      </c>
    </row>
    <row r="555" spans="4:30" x14ac:dyDescent="0.25">
      <c r="D555" s="28" t="s">
        <v>306</v>
      </c>
      <c r="E555" s="28" t="s">
        <v>215</v>
      </c>
      <c r="F555" s="28" t="s">
        <v>328</v>
      </c>
      <c r="G555" s="28" t="s">
        <v>322</v>
      </c>
      <c r="H555" s="28" t="s">
        <v>816</v>
      </c>
      <c r="J555" s="28" t="s">
        <v>773</v>
      </c>
      <c r="K555" s="28" t="s">
        <v>779</v>
      </c>
      <c r="M555" s="28" t="s">
        <v>698</v>
      </c>
      <c r="N555" s="28" t="s">
        <v>976</v>
      </c>
      <c r="O555" s="28" t="s">
        <v>269</v>
      </c>
      <c r="Q555" s="28" t="s">
        <v>747</v>
      </c>
      <c r="R555" s="28" t="s">
        <v>1337</v>
      </c>
      <c r="W555" s="28" t="s">
        <v>160</v>
      </c>
      <c r="AA555" s="28" t="s">
        <v>43</v>
      </c>
      <c r="AD555" s="28" t="s">
        <v>816</v>
      </c>
    </row>
    <row r="556" spans="4:30" x14ac:dyDescent="0.25">
      <c r="F556" s="28" t="s">
        <v>329</v>
      </c>
      <c r="G556" s="28" t="s">
        <v>323</v>
      </c>
      <c r="I556" s="28" t="s">
        <v>879</v>
      </c>
      <c r="J556" s="28" t="s">
        <v>780</v>
      </c>
      <c r="K556" s="28" t="s">
        <v>779</v>
      </c>
      <c r="L556" s="28" t="s">
        <v>911</v>
      </c>
      <c r="M556" s="28" t="s">
        <v>699</v>
      </c>
      <c r="N556" s="28" t="s">
        <v>909</v>
      </c>
      <c r="O556" s="28" t="s">
        <v>265</v>
      </c>
      <c r="P556" s="28" t="s">
        <v>1375</v>
      </c>
      <c r="X556" s="28" t="s">
        <v>1648</v>
      </c>
      <c r="Y556" s="28" t="s">
        <v>810</v>
      </c>
      <c r="Z556" s="28" t="s">
        <v>433</v>
      </c>
      <c r="AB556" s="28" t="s">
        <v>779</v>
      </c>
      <c r="AC556" s="28" t="s">
        <v>1912</v>
      </c>
    </row>
    <row r="557" spans="4:30" x14ac:dyDescent="0.25">
      <c r="D557" s="28" t="s">
        <v>307</v>
      </c>
      <c r="E557" s="28" t="s">
        <v>456</v>
      </c>
      <c r="H557" s="28" t="s">
        <v>253</v>
      </c>
      <c r="J557" s="28" t="s">
        <v>801</v>
      </c>
      <c r="M557" s="28" t="s">
        <v>700</v>
      </c>
      <c r="O557" s="28" t="s">
        <v>254</v>
      </c>
      <c r="P557" s="28" t="s">
        <v>1376</v>
      </c>
      <c r="Q557" s="28" t="s">
        <v>1359</v>
      </c>
      <c r="R557" s="28" t="s">
        <v>1338</v>
      </c>
      <c r="W557" s="28" t="s">
        <v>426</v>
      </c>
      <c r="Y557" s="28" t="s">
        <v>818</v>
      </c>
      <c r="AA557" s="28" t="s">
        <v>906</v>
      </c>
      <c r="AB557" s="28" t="s">
        <v>778</v>
      </c>
      <c r="AC557" s="28" t="s">
        <v>1893</v>
      </c>
      <c r="AD557" s="28" t="s">
        <v>909</v>
      </c>
    </row>
    <row r="558" spans="4:30" x14ac:dyDescent="0.25">
      <c r="D558" s="28" t="s">
        <v>308</v>
      </c>
      <c r="F558" s="28" t="s">
        <v>330</v>
      </c>
      <c r="G558" s="28" t="s">
        <v>474</v>
      </c>
      <c r="H558" s="28" t="s">
        <v>817</v>
      </c>
      <c r="I558" s="28" t="s">
        <v>880</v>
      </c>
      <c r="J558" s="28" t="s">
        <v>774</v>
      </c>
      <c r="K558" s="28" t="s">
        <v>793</v>
      </c>
      <c r="L558" s="28" t="s">
        <v>823</v>
      </c>
      <c r="N558" s="28" t="s">
        <v>810</v>
      </c>
      <c r="Q558" s="28" t="s">
        <v>1360</v>
      </c>
      <c r="R558" s="28" t="s">
        <v>501</v>
      </c>
      <c r="W558" s="28" t="s">
        <v>1264</v>
      </c>
      <c r="X558" s="28" t="s">
        <v>341</v>
      </c>
      <c r="Z558" s="28" t="s">
        <v>785</v>
      </c>
      <c r="AA558" s="28" t="s">
        <v>907</v>
      </c>
      <c r="AD558" s="28" t="s">
        <v>910</v>
      </c>
    </row>
    <row r="559" spans="4:30" x14ac:dyDescent="0.25">
      <c r="D559" s="28" t="s">
        <v>309</v>
      </c>
      <c r="E559" s="28" t="s">
        <v>457</v>
      </c>
      <c r="G559" s="28" t="s">
        <v>325</v>
      </c>
      <c r="H559" s="28" t="s">
        <v>810</v>
      </c>
      <c r="I559" s="28" t="s">
        <v>881</v>
      </c>
      <c r="J559" s="28" t="s">
        <v>802</v>
      </c>
      <c r="K559" s="28" t="s">
        <v>794</v>
      </c>
      <c r="L559" s="28" t="s">
        <v>809</v>
      </c>
      <c r="M559" s="28" t="s">
        <v>701</v>
      </c>
      <c r="N559" s="28" t="s">
        <v>818</v>
      </c>
      <c r="O559" s="28" t="s">
        <v>271</v>
      </c>
      <c r="P559" s="28" t="s">
        <v>689</v>
      </c>
      <c r="X559" s="28" t="s">
        <v>797</v>
      </c>
      <c r="Y559" s="28" t="s">
        <v>365</v>
      </c>
      <c r="AB559" s="28" t="s">
        <v>1956</v>
      </c>
      <c r="AC559" s="28" t="s">
        <v>442</v>
      </c>
    </row>
    <row r="560" spans="4:30" x14ac:dyDescent="0.25">
      <c r="D560" s="28" t="s">
        <v>310</v>
      </c>
      <c r="F560" s="28" t="s">
        <v>331</v>
      </c>
      <c r="H560" s="28" t="s">
        <v>818</v>
      </c>
      <c r="I560" s="28" t="s">
        <v>882</v>
      </c>
      <c r="J560" s="28" t="s">
        <v>775</v>
      </c>
      <c r="L560" s="28" t="s">
        <v>826</v>
      </c>
      <c r="Q560" s="28" t="s">
        <v>750</v>
      </c>
      <c r="R560" s="28" t="s">
        <v>845</v>
      </c>
      <c r="W560" s="28" t="s">
        <v>1602</v>
      </c>
      <c r="X560" s="28" t="s">
        <v>798</v>
      </c>
      <c r="Z560" s="28" t="s">
        <v>894</v>
      </c>
      <c r="AA560" s="28" t="s">
        <v>212</v>
      </c>
      <c r="AD560" s="28" t="s">
        <v>810</v>
      </c>
    </row>
    <row r="561" spans="4:30" x14ac:dyDescent="0.25">
      <c r="D561" s="28" t="s">
        <v>311</v>
      </c>
      <c r="E561" s="28" t="s">
        <v>443</v>
      </c>
      <c r="G561" s="28" t="s">
        <v>43</v>
      </c>
      <c r="H561" s="28" t="s">
        <v>819</v>
      </c>
      <c r="K561" s="28" t="s">
        <v>795</v>
      </c>
      <c r="M561" s="28" t="s">
        <v>702</v>
      </c>
      <c r="N561" s="28" t="s">
        <v>265</v>
      </c>
      <c r="O561" s="28" t="s">
        <v>273</v>
      </c>
      <c r="P561" s="28" t="s">
        <v>1346</v>
      </c>
      <c r="R561" s="28" t="s">
        <v>846</v>
      </c>
      <c r="X561" s="28" t="s">
        <v>799</v>
      </c>
      <c r="AB561" s="28" t="s">
        <v>785</v>
      </c>
      <c r="AC561" s="28" t="s">
        <v>160</v>
      </c>
    </row>
    <row r="562" spans="4:30" x14ac:dyDescent="0.25">
      <c r="D562" s="28" t="s">
        <v>312</v>
      </c>
      <c r="F562" s="28" t="s">
        <v>332</v>
      </c>
      <c r="G562" s="28" t="s">
        <v>326</v>
      </c>
      <c r="H562" s="28" t="s">
        <v>811</v>
      </c>
      <c r="I562" s="28" t="s">
        <v>883</v>
      </c>
      <c r="J562" s="28" t="s">
        <v>778</v>
      </c>
      <c r="K562" s="28" t="s">
        <v>796</v>
      </c>
      <c r="L562" s="28" t="s">
        <v>827</v>
      </c>
      <c r="N562" s="28" t="s">
        <v>266</v>
      </c>
      <c r="O562" s="28" t="s">
        <v>274</v>
      </c>
      <c r="Q562" s="28" t="s">
        <v>751</v>
      </c>
      <c r="W562" s="28" t="s">
        <v>419</v>
      </c>
      <c r="Z562" s="28" t="s">
        <v>895</v>
      </c>
      <c r="AA562" s="28" t="s">
        <v>933</v>
      </c>
      <c r="AD562" s="28" t="s">
        <v>811</v>
      </c>
    </row>
    <row r="563" spans="4:30" x14ac:dyDescent="0.25">
      <c r="E563" s="28" t="s">
        <v>441</v>
      </c>
      <c r="G563" s="28" t="s">
        <v>327</v>
      </c>
      <c r="H563" s="28" t="s">
        <v>820</v>
      </c>
      <c r="L563" s="28" t="s">
        <v>823</v>
      </c>
      <c r="M563" s="28" t="s">
        <v>952</v>
      </c>
      <c r="N563" s="28" t="s">
        <v>267</v>
      </c>
      <c r="O563" s="28" t="s">
        <v>266</v>
      </c>
      <c r="P563" s="28" t="s">
        <v>1346</v>
      </c>
      <c r="R563" s="28" t="s">
        <v>502</v>
      </c>
      <c r="W563" s="28" t="s">
        <v>419</v>
      </c>
      <c r="X563" s="28" t="s">
        <v>1850</v>
      </c>
      <c r="AB563" s="28" t="s">
        <v>894</v>
      </c>
      <c r="AC563" s="28" t="s">
        <v>1981</v>
      </c>
      <c r="AD563" s="28" t="s">
        <v>820</v>
      </c>
    </row>
    <row r="564" spans="4:30" x14ac:dyDescent="0.25">
      <c r="D564" s="28" t="s">
        <v>313</v>
      </c>
      <c r="F564" s="28" t="s">
        <v>333</v>
      </c>
      <c r="H564" s="28" t="s">
        <v>821</v>
      </c>
      <c r="I564" s="28" t="s">
        <v>884</v>
      </c>
      <c r="J564" s="28" t="s">
        <v>777</v>
      </c>
      <c r="K564" s="28" t="s">
        <v>341</v>
      </c>
      <c r="L564" s="28" t="s">
        <v>809</v>
      </c>
      <c r="M564" s="28" t="s">
        <v>740</v>
      </c>
      <c r="N564" s="28" t="s">
        <v>268</v>
      </c>
      <c r="O564" s="28" t="s">
        <v>275</v>
      </c>
      <c r="Q564" s="28" t="s">
        <v>703</v>
      </c>
      <c r="W564" s="28" t="s">
        <v>212</v>
      </c>
      <c r="X564" s="28" t="s">
        <v>1851</v>
      </c>
      <c r="Z564" s="28" t="s">
        <v>896</v>
      </c>
      <c r="AA564" s="28" t="s">
        <v>809</v>
      </c>
      <c r="AD564" s="28" t="s">
        <v>821</v>
      </c>
    </row>
    <row r="565" spans="4:30" x14ac:dyDescent="0.25">
      <c r="D565" s="28" t="s">
        <v>314</v>
      </c>
      <c r="E565" s="28" t="s">
        <v>417</v>
      </c>
      <c r="F565" s="28" t="s">
        <v>334</v>
      </c>
      <c r="G565" s="28" t="s">
        <v>328</v>
      </c>
      <c r="K565" s="28" t="s">
        <v>797</v>
      </c>
      <c r="M565" s="28" t="s">
        <v>741</v>
      </c>
      <c r="P565" s="28" t="s">
        <v>1377</v>
      </c>
      <c r="Q565" s="28" t="s">
        <v>368</v>
      </c>
      <c r="R565" s="28" t="s">
        <v>1339</v>
      </c>
      <c r="X565" s="28" t="s">
        <v>333</v>
      </c>
      <c r="AA565" s="28" t="s">
        <v>810</v>
      </c>
      <c r="AB565" s="28" t="s">
        <v>895</v>
      </c>
      <c r="AC565" s="28" t="s">
        <v>285</v>
      </c>
    </row>
    <row r="566" spans="4:30" x14ac:dyDescent="0.25">
      <c r="G566" s="28" t="s">
        <v>329</v>
      </c>
      <c r="H566" s="28" t="s">
        <v>811</v>
      </c>
      <c r="I566" s="28" t="s">
        <v>885</v>
      </c>
      <c r="J566" s="28" t="s">
        <v>779</v>
      </c>
      <c r="K566" s="28" t="s">
        <v>798</v>
      </c>
      <c r="L566" s="28" t="s">
        <v>912</v>
      </c>
      <c r="M566" s="28" t="s">
        <v>742</v>
      </c>
      <c r="N566" s="28" t="s">
        <v>269</v>
      </c>
      <c r="O566" s="28" t="s">
        <v>829</v>
      </c>
      <c r="P566" s="28" t="s">
        <v>705</v>
      </c>
      <c r="R566" s="28" t="s">
        <v>1340</v>
      </c>
      <c r="W566" s="28" t="s">
        <v>1678</v>
      </c>
      <c r="X566" s="28" t="s">
        <v>334</v>
      </c>
      <c r="Z566" s="28" t="s">
        <v>897</v>
      </c>
      <c r="AA566" s="28" t="s">
        <v>811</v>
      </c>
      <c r="AD566" s="28" t="s">
        <v>811</v>
      </c>
    </row>
    <row r="567" spans="4:30" x14ac:dyDescent="0.25">
      <c r="D567" s="28" t="s">
        <v>315</v>
      </c>
      <c r="E567" s="28" t="s">
        <v>241</v>
      </c>
      <c r="F567" s="28" t="s">
        <v>335</v>
      </c>
      <c r="H567" s="28" t="s">
        <v>822</v>
      </c>
      <c r="K567" s="28" t="s">
        <v>799</v>
      </c>
      <c r="M567" s="28" t="s">
        <v>743</v>
      </c>
      <c r="N567" s="28" t="s">
        <v>270</v>
      </c>
      <c r="P567" s="28" t="s">
        <v>1331</v>
      </c>
      <c r="Q567" s="28" t="s">
        <v>752</v>
      </c>
      <c r="R567" s="28" t="s">
        <v>1507</v>
      </c>
      <c r="AA567" s="28" t="s">
        <v>812</v>
      </c>
      <c r="AB567" s="28" t="s">
        <v>896</v>
      </c>
      <c r="AC567" s="28" t="s">
        <v>285</v>
      </c>
      <c r="AD567" s="28" t="s">
        <v>822</v>
      </c>
    </row>
    <row r="568" spans="4:30" x14ac:dyDescent="0.25">
      <c r="F568" s="28" t="s">
        <v>336</v>
      </c>
      <c r="G568" s="28" t="s">
        <v>330</v>
      </c>
      <c r="H568" s="28" t="s">
        <v>811</v>
      </c>
      <c r="I568" s="28" t="s">
        <v>687</v>
      </c>
      <c r="J568" s="28" t="s">
        <v>780</v>
      </c>
      <c r="L568" s="28" t="s">
        <v>810</v>
      </c>
      <c r="M568" s="28" t="s">
        <v>744</v>
      </c>
      <c r="N568" s="28" t="s">
        <v>268</v>
      </c>
      <c r="O568" s="28" t="s">
        <v>830</v>
      </c>
      <c r="W568" s="28" t="s">
        <v>425</v>
      </c>
      <c r="X568" s="28" t="s">
        <v>1852</v>
      </c>
      <c r="Z568" s="28" t="s">
        <v>898</v>
      </c>
      <c r="AA568" s="28" t="s">
        <v>809</v>
      </c>
      <c r="AD568" s="28" t="s">
        <v>811</v>
      </c>
    </row>
    <row r="569" spans="4:30" x14ac:dyDescent="0.25">
      <c r="D569" s="28" t="s">
        <v>316</v>
      </c>
      <c r="E569" s="28" t="s">
        <v>442</v>
      </c>
      <c r="H569" s="28" t="s">
        <v>823</v>
      </c>
      <c r="I569" s="28" t="s">
        <v>945</v>
      </c>
      <c r="K569" s="28" t="s">
        <v>82</v>
      </c>
      <c r="L569" s="28" t="s">
        <v>818</v>
      </c>
      <c r="N569" s="28" t="s">
        <v>267</v>
      </c>
      <c r="O569" s="28" t="s">
        <v>831</v>
      </c>
      <c r="P569" s="28" t="s">
        <v>1378</v>
      </c>
      <c r="Q569" s="28" t="s">
        <v>753</v>
      </c>
      <c r="R569" s="28" t="s">
        <v>73</v>
      </c>
      <c r="W569" s="28" t="s">
        <v>1264</v>
      </c>
      <c r="AA569" s="28" t="s">
        <v>813</v>
      </c>
      <c r="AB569" s="28" t="s">
        <v>897</v>
      </c>
      <c r="AC569" s="28" t="s">
        <v>921</v>
      </c>
    </row>
    <row r="570" spans="4:30" x14ac:dyDescent="0.25">
      <c r="D570" s="28" t="s">
        <v>316</v>
      </c>
      <c r="F570" s="28" t="s">
        <v>337</v>
      </c>
      <c r="G570" s="28" t="s">
        <v>331</v>
      </c>
      <c r="H570" s="28" t="s">
        <v>254</v>
      </c>
      <c r="J570" s="28" t="s">
        <v>780</v>
      </c>
      <c r="K570" s="28" t="s">
        <v>73</v>
      </c>
      <c r="M570" s="28" t="s">
        <v>378</v>
      </c>
      <c r="N570" s="28" t="s">
        <v>269</v>
      </c>
      <c r="R570" s="28" t="s">
        <v>43</v>
      </c>
      <c r="X570" s="28" t="s">
        <v>1853</v>
      </c>
      <c r="Z570" s="28" t="s">
        <v>899</v>
      </c>
      <c r="AA570" s="28" t="s">
        <v>811</v>
      </c>
      <c r="AD570" s="28" t="s">
        <v>911</v>
      </c>
    </row>
    <row r="571" spans="4:30" x14ac:dyDescent="0.25">
      <c r="D571" s="28" t="s">
        <v>317</v>
      </c>
      <c r="E571" s="28" t="s">
        <v>278</v>
      </c>
      <c r="H571" s="28" t="s">
        <v>824</v>
      </c>
      <c r="I571" s="28" t="s">
        <v>886</v>
      </c>
      <c r="K571" s="28" t="s">
        <v>43</v>
      </c>
      <c r="L571" s="28" t="s">
        <v>265</v>
      </c>
      <c r="M571" s="28" t="s">
        <v>745</v>
      </c>
      <c r="N571" s="28" t="s">
        <v>265</v>
      </c>
      <c r="O571" s="28" t="s">
        <v>832</v>
      </c>
      <c r="P571" s="28" t="s">
        <v>1379</v>
      </c>
      <c r="Q571" s="28" t="s">
        <v>754</v>
      </c>
      <c r="W571" s="28" t="s">
        <v>424</v>
      </c>
      <c r="X571" s="28" t="s">
        <v>336</v>
      </c>
      <c r="AA571" s="28" t="s">
        <v>814</v>
      </c>
      <c r="AB571" s="28" t="s">
        <v>898</v>
      </c>
      <c r="AC571" s="28" t="s">
        <v>921</v>
      </c>
    </row>
    <row r="572" spans="4:30" x14ac:dyDescent="0.25">
      <c r="D572" s="28" t="s">
        <v>318</v>
      </c>
      <c r="F572" s="28" t="s">
        <v>338</v>
      </c>
      <c r="G572" s="28" t="s">
        <v>332</v>
      </c>
      <c r="H572" s="28" t="s">
        <v>825</v>
      </c>
      <c r="J572" s="28" t="s">
        <v>1017</v>
      </c>
      <c r="L572" s="28" t="s">
        <v>266</v>
      </c>
      <c r="M572" s="28" t="s">
        <v>746</v>
      </c>
      <c r="N572" s="28" t="s">
        <v>254</v>
      </c>
      <c r="O572" s="28" t="s">
        <v>833</v>
      </c>
      <c r="P572" s="28" t="s">
        <v>1380</v>
      </c>
      <c r="Q572" s="28" t="s">
        <v>755</v>
      </c>
      <c r="R572" s="28" t="s">
        <v>784</v>
      </c>
      <c r="X572" s="28" t="s">
        <v>337</v>
      </c>
      <c r="Z572" s="28" t="s">
        <v>900</v>
      </c>
      <c r="AA572" s="28" t="s">
        <v>815</v>
      </c>
      <c r="AC572" s="28" t="s">
        <v>562</v>
      </c>
      <c r="AD572" s="28" t="s">
        <v>823</v>
      </c>
    </row>
    <row r="573" spans="4:30" x14ac:dyDescent="0.25">
      <c r="D573" s="28" t="s">
        <v>319</v>
      </c>
      <c r="E573" s="28" t="s">
        <v>419</v>
      </c>
      <c r="H573" s="28" t="s">
        <v>823</v>
      </c>
      <c r="I573" s="28" t="s">
        <v>205</v>
      </c>
      <c r="K573" s="28" t="s">
        <v>972</v>
      </c>
      <c r="L573" s="28" t="s">
        <v>267</v>
      </c>
      <c r="M573" s="28" t="s">
        <v>378</v>
      </c>
      <c r="R573" s="28" t="s">
        <v>785</v>
      </c>
      <c r="W573" s="28" t="s">
        <v>427</v>
      </c>
      <c r="AA573" s="28" t="s">
        <v>809</v>
      </c>
      <c r="AB573" s="28" t="s">
        <v>899</v>
      </c>
      <c r="AD573" s="28" t="s">
        <v>809</v>
      </c>
    </row>
    <row r="574" spans="4:30" x14ac:dyDescent="0.25">
      <c r="D574" s="28" t="s">
        <v>316</v>
      </c>
      <c r="E574" s="28" t="s">
        <v>160</v>
      </c>
      <c r="F574" s="28" t="s">
        <v>339</v>
      </c>
      <c r="G574" s="28" t="s">
        <v>333</v>
      </c>
      <c r="H574" s="28" t="s">
        <v>809</v>
      </c>
      <c r="J574" s="28" t="s">
        <v>803</v>
      </c>
      <c r="K574" s="28" t="s">
        <v>780</v>
      </c>
      <c r="L574" s="28" t="s">
        <v>268</v>
      </c>
      <c r="M574" s="28" t="s">
        <v>747</v>
      </c>
      <c r="N574" s="28" t="s">
        <v>271</v>
      </c>
      <c r="O574" s="28" t="s">
        <v>834</v>
      </c>
      <c r="P574" s="28" t="s">
        <v>1379</v>
      </c>
      <c r="Q574" s="28" t="s">
        <v>756</v>
      </c>
      <c r="W574" s="28" t="s">
        <v>1264</v>
      </c>
      <c r="X574" s="28" t="s">
        <v>1854</v>
      </c>
      <c r="Z574" s="28" t="s">
        <v>901</v>
      </c>
      <c r="AA574" s="28" t="s">
        <v>816</v>
      </c>
      <c r="AC574" s="28" t="s">
        <v>422</v>
      </c>
      <c r="AD574" s="28" t="s">
        <v>826</v>
      </c>
    </row>
    <row r="575" spans="4:30" x14ac:dyDescent="0.25">
      <c r="G575" s="28" t="s">
        <v>334</v>
      </c>
      <c r="H575" s="28" t="s">
        <v>826</v>
      </c>
      <c r="I575" s="28" t="s">
        <v>887</v>
      </c>
      <c r="J575" s="28" t="s">
        <v>346</v>
      </c>
      <c r="K575" s="28" t="s">
        <v>786</v>
      </c>
      <c r="O575" s="28" t="s">
        <v>835</v>
      </c>
      <c r="P575" s="28" t="s">
        <v>1380</v>
      </c>
      <c r="Q575" s="28" t="s">
        <v>757</v>
      </c>
      <c r="R575" s="28" t="s">
        <v>786</v>
      </c>
      <c r="W575" s="28" t="s">
        <v>424</v>
      </c>
      <c r="X575" s="28" t="s">
        <v>339</v>
      </c>
      <c r="AB575" s="28" t="s">
        <v>900</v>
      </c>
    </row>
    <row r="576" spans="4:30" x14ac:dyDescent="0.25">
      <c r="D576" s="28" t="s">
        <v>320</v>
      </c>
      <c r="E576" s="28" t="s">
        <v>160</v>
      </c>
      <c r="F576" s="28" t="s">
        <v>340</v>
      </c>
      <c r="I576" s="28" t="s">
        <v>888</v>
      </c>
      <c r="K576" s="28" t="s">
        <v>800</v>
      </c>
      <c r="L576" s="28" t="s">
        <v>269</v>
      </c>
      <c r="M576" s="28" t="s">
        <v>748</v>
      </c>
      <c r="N576" s="28" t="s">
        <v>273</v>
      </c>
      <c r="R576" s="28" t="s">
        <v>1367</v>
      </c>
      <c r="X576" s="28" t="s">
        <v>340</v>
      </c>
      <c r="Z576" s="28" t="s">
        <v>902</v>
      </c>
      <c r="AA576" s="28" t="s">
        <v>909</v>
      </c>
      <c r="AC576" s="28" t="s">
        <v>285</v>
      </c>
      <c r="AD576" s="28" t="s">
        <v>827</v>
      </c>
    </row>
    <row r="577" spans="4:30" x14ac:dyDescent="0.25">
      <c r="G577" s="28" t="s">
        <v>335</v>
      </c>
      <c r="H577" s="28" t="s">
        <v>827</v>
      </c>
      <c r="I577" s="28" t="s">
        <v>947</v>
      </c>
      <c r="J577" s="28" t="s">
        <v>804</v>
      </c>
      <c r="K577" s="28" t="s">
        <v>773</v>
      </c>
      <c r="L577" s="28" t="s">
        <v>270</v>
      </c>
      <c r="M577" s="28" t="s">
        <v>749</v>
      </c>
      <c r="N577" s="28" t="s">
        <v>274</v>
      </c>
      <c r="O577" s="28" t="s">
        <v>836</v>
      </c>
      <c r="P577" s="28" t="s">
        <v>419</v>
      </c>
      <c r="Q577" s="28" t="s">
        <v>1430</v>
      </c>
      <c r="W577" s="28" t="s">
        <v>212</v>
      </c>
      <c r="AA577" s="28" t="s">
        <v>910</v>
      </c>
      <c r="AB577" s="28" t="s">
        <v>901</v>
      </c>
      <c r="AC577" s="28" t="s">
        <v>160</v>
      </c>
      <c r="AD577" s="28" t="s">
        <v>823</v>
      </c>
    </row>
    <row r="578" spans="4:30" x14ac:dyDescent="0.25">
      <c r="D578" s="28" t="s">
        <v>321</v>
      </c>
      <c r="E578" s="28" t="s">
        <v>422</v>
      </c>
      <c r="F578" s="28" t="s">
        <v>341</v>
      </c>
      <c r="G578" s="28" t="s">
        <v>336</v>
      </c>
      <c r="H578" s="28" t="s">
        <v>823</v>
      </c>
      <c r="K578" s="28" t="s">
        <v>972</v>
      </c>
      <c r="L578" s="28" t="s">
        <v>268</v>
      </c>
      <c r="N578" s="28" t="s">
        <v>266</v>
      </c>
      <c r="P578" s="28" t="s">
        <v>419</v>
      </c>
      <c r="R578" s="28" t="s">
        <v>787</v>
      </c>
      <c r="W578" s="28" t="s">
        <v>422</v>
      </c>
      <c r="X578" s="28" t="s">
        <v>1649</v>
      </c>
      <c r="Z578" s="28" t="s">
        <v>903</v>
      </c>
      <c r="AD578" s="28" t="s">
        <v>809</v>
      </c>
    </row>
    <row r="579" spans="4:30" x14ac:dyDescent="0.25">
      <c r="F579" s="28" t="s">
        <v>342</v>
      </c>
      <c r="H579" s="28" t="s">
        <v>809</v>
      </c>
      <c r="I579" s="28" t="s">
        <v>889</v>
      </c>
      <c r="J579" s="28" t="s">
        <v>805</v>
      </c>
      <c r="K579" s="28" t="s">
        <v>801</v>
      </c>
      <c r="L579" s="28" t="s">
        <v>267</v>
      </c>
      <c r="M579" s="28" t="s">
        <v>750</v>
      </c>
      <c r="N579" s="28" t="s">
        <v>275</v>
      </c>
      <c r="O579" s="28" t="s">
        <v>837</v>
      </c>
      <c r="P579" s="28" t="s">
        <v>424</v>
      </c>
      <c r="Q579" s="28" t="s">
        <v>1445</v>
      </c>
      <c r="W579" s="28" t="s">
        <v>160</v>
      </c>
      <c r="X579" s="28" t="s">
        <v>334</v>
      </c>
      <c r="AA579" s="28" t="s">
        <v>810</v>
      </c>
      <c r="AB579" s="28" t="s">
        <v>902</v>
      </c>
      <c r="AC579" s="28" t="s">
        <v>212</v>
      </c>
    </row>
    <row r="580" spans="4:30" x14ac:dyDescent="0.25">
      <c r="D580" s="28" t="s">
        <v>322</v>
      </c>
      <c r="E580" s="28" t="s">
        <v>160</v>
      </c>
      <c r="F580" s="28" t="s">
        <v>343</v>
      </c>
      <c r="G580" s="28" t="s">
        <v>337</v>
      </c>
      <c r="H580" s="28" t="s">
        <v>828</v>
      </c>
      <c r="I580" s="28" t="s">
        <v>947</v>
      </c>
      <c r="K580" s="28" t="s">
        <v>774</v>
      </c>
      <c r="L580" s="28" t="s">
        <v>269</v>
      </c>
      <c r="P580" s="28" t="s">
        <v>160</v>
      </c>
      <c r="R580" s="28" t="s">
        <v>1368</v>
      </c>
      <c r="X580" s="28" t="s">
        <v>1849</v>
      </c>
      <c r="Z580" s="28" t="s">
        <v>809</v>
      </c>
      <c r="AD580" s="28" t="s">
        <v>912</v>
      </c>
    </row>
    <row r="581" spans="4:30" x14ac:dyDescent="0.25">
      <c r="D581" s="28" t="s">
        <v>323</v>
      </c>
      <c r="F581" s="28" t="s">
        <v>344</v>
      </c>
      <c r="H581" s="28" t="s">
        <v>254</v>
      </c>
      <c r="J581" s="28" t="s">
        <v>363</v>
      </c>
      <c r="K581" s="28" t="s">
        <v>802</v>
      </c>
      <c r="L581" s="28" t="s">
        <v>265</v>
      </c>
      <c r="M581" s="28" t="s">
        <v>751</v>
      </c>
      <c r="N581" s="28" t="s">
        <v>829</v>
      </c>
      <c r="O581" s="28" t="s">
        <v>838</v>
      </c>
      <c r="Q581" s="28" t="s">
        <v>160</v>
      </c>
      <c r="R581" s="28" t="s">
        <v>1368</v>
      </c>
      <c r="W581" s="28" t="s">
        <v>1678</v>
      </c>
      <c r="X581" s="28" t="s">
        <v>337</v>
      </c>
      <c r="Z581" s="28" t="s">
        <v>810</v>
      </c>
      <c r="AA581" s="28" t="s">
        <v>811</v>
      </c>
      <c r="AB581" s="28" t="s">
        <v>903</v>
      </c>
      <c r="AC581" s="28" t="s">
        <v>454</v>
      </c>
    </row>
    <row r="582" spans="4:30" x14ac:dyDescent="0.25">
      <c r="E582" s="28" t="s">
        <v>419</v>
      </c>
      <c r="G582" s="28" t="s">
        <v>338</v>
      </c>
      <c r="H582" s="28" t="s">
        <v>253</v>
      </c>
      <c r="I582" s="28" t="s">
        <v>951</v>
      </c>
      <c r="K582" s="28" t="s">
        <v>775</v>
      </c>
      <c r="L582" s="28" t="s">
        <v>254</v>
      </c>
      <c r="P582" s="28" t="s">
        <v>891</v>
      </c>
      <c r="X582" s="28" t="s">
        <v>1849</v>
      </c>
      <c r="Z582" s="28" t="s">
        <v>811</v>
      </c>
      <c r="AA582" s="28" t="s">
        <v>820</v>
      </c>
      <c r="AD582" s="28" t="s">
        <v>810</v>
      </c>
    </row>
    <row r="583" spans="4:30" x14ac:dyDescent="0.25">
      <c r="D583" s="28" t="s">
        <v>474</v>
      </c>
      <c r="E583" s="28" t="s">
        <v>160</v>
      </c>
      <c r="F583" s="28" t="s">
        <v>327</v>
      </c>
      <c r="H583" s="28" t="s">
        <v>817</v>
      </c>
      <c r="J583" s="28" t="s">
        <v>160</v>
      </c>
      <c r="M583" s="28" t="s">
        <v>703</v>
      </c>
      <c r="N583" s="28" t="s">
        <v>830</v>
      </c>
      <c r="O583" s="28" t="s">
        <v>839</v>
      </c>
      <c r="P583" s="28" t="s">
        <v>892</v>
      </c>
      <c r="Q583" s="28" t="s">
        <v>759</v>
      </c>
      <c r="R583" s="28" t="s">
        <v>789</v>
      </c>
      <c r="W583" s="28" t="s">
        <v>212</v>
      </c>
      <c r="X583" s="28" t="s">
        <v>340</v>
      </c>
      <c r="Z583" s="28" t="s">
        <v>812</v>
      </c>
      <c r="AA583" s="28" t="s">
        <v>821</v>
      </c>
      <c r="AB583" s="28" t="s">
        <v>1957</v>
      </c>
      <c r="AC583" s="28" t="s">
        <v>160</v>
      </c>
      <c r="AD583" s="28" t="s">
        <v>818</v>
      </c>
    </row>
    <row r="584" spans="4:30" x14ac:dyDescent="0.25">
      <c r="D584" s="28" t="s">
        <v>325</v>
      </c>
      <c r="F584" s="28" t="s">
        <v>347</v>
      </c>
      <c r="G584" s="28" t="s">
        <v>339</v>
      </c>
      <c r="H584" s="28" t="s">
        <v>810</v>
      </c>
      <c r="I584" s="28" t="s">
        <v>160</v>
      </c>
      <c r="K584" s="28" t="s">
        <v>778</v>
      </c>
      <c r="L584" s="28" t="s">
        <v>271</v>
      </c>
      <c r="M584" s="28" t="s">
        <v>368</v>
      </c>
      <c r="N584" s="28" t="s">
        <v>831</v>
      </c>
      <c r="O584" s="28" t="s">
        <v>840</v>
      </c>
      <c r="W584" s="28" t="s">
        <v>545</v>
      </c>
      <c r="X584" s="28" t="s">
        <v>1849</v>
      </c>
      <c r="Z584" s="28" t="s">
        <v>809</v>
      </c>
    </row>
    <row r="585" spans="4:30" x14ac:dyDescent="0.25">
      <c r="E585" s="28" t="s">
        <v>434</v>
      </c>
      <c r="F585" s="28" t="s">
        <v>334</v>
      </c>
      <c r="H585" s="28" t="s">
        <v>818</v>
      </c>
      <c r="J585" s="28" t="s">
        <v>424</v>
      </c>
      <c r="P585" s="28" t="s">
        <v>779</v>
      </c>
      <c r="Q585" s="28" t="s">
        <v>760</v>
      </c>
      <c r="R585" s="28" t="s">
        <v>777</v>
      </c>
      <c r="W585" s="28" t="s">
        <v>160</v>
      </c>
      <c r="Z585" s="28" t="s">
        <v>813</v>
      </c>
      <c r="AA585" s="28" t="s">
        <v>811</v>
      </c>
      <c r="AB585" s="28" t="s">
        <v>1866</v>
      </c>
      <c r="AC585" s="28" t="s">
        <v>419</v>
      </c>
      <c r="AD585" s="28" t="s">
        <v>160</v>
      </c>
    </row>
    <row r="586" spans="4:30" x14ac:dyDescent="0.25">
      <c r="D586" s="28" t="s">
        <v>43</v>
      </c>
      <c r="F586" s="28" t="s">
        <v>337</v>
      </c>
      <c r="G586" s="28" t="s">
        <v>340</v>
      </c>
      <c r="I586" s="28" t="s">
        <v>378</v>
      </c>
      <c r="K586" s="28" t="s">
        <v>777</v>
      </c>
      <c r="L586" s="28" t="s">
        <v>273</v>
      </c>
      <c r="M586" s="28" t="s">
        <v>752</v>
      </c>
      <c r="N586" s="28" t="s">
        <v>832</v>
      </c>
      <c r="O586" s="28" t="s">
        <v>841</v>
      </c>
      <c r="P586" s="28" t="s">
        <v>778</v>
      </c>
      <c r="R586" s="28" t="s">
        <v>777</v>
      </c>
      <c r="X586" s="28" t="s">
        <v>1855</v>
      </c>
      <c r="Z586" s="28" t="s">
        <v>811</v>
      </c>
      <c r="AA586" s="28" t="s">
        <v>822</v>
      </c>
      <c r="AC586" s="28" t="s">
        <v>212</v>
      </c>
    </row>
    <row r="587" spans="4:30" x14ac:dyDescent="0.25">
      <c r="D587" s="28" t="s">
        <v>326</v>
      </c>
      <c r="E587" s="28" t="s">
        <v>444</v>
      </c>
      <c r="F587" s="28" t="s">
        <v>348</v>
      </c>
      <c r="H587" s="28" t="s">
        <v>265</v>
      </c>
      <c r="J587" s="28" t="s">
        <v>77</v>
      </c>
      <c r="L587" s="28" t="s">
        <v>274</v>
      </c>
      <c r="N587" s="28" t="s">
        <v>833</v>
      </c>
      <c r="O587" s="28" t="s">
        <v>842</v>
      </c>
      <c r="Q587" s="28" t="s">
        <v>1446</v>
      </c>
      <c r="W587" s="28" t="s">
        <v>1678</v>
      </c>
      <c r="Z587" s="28" t="s">
        <v>814</v>
      </c>
      <c r="AA587" s="28" t="s">
        <v>811</v>
      </c>
      <c r="AB587" s="28" t="s">
        <v>1886</v>
      </c>
      <c r="AD587" s="28" t="s">
        <v>160</v>
      </c>
    </row>
    <row r="588" spans="4:30" x14ac:dyDescent="0.25">
      <c r="D588" s="28" t="s">
        <v>327</v>
      </c>
      <c r="F588" s="28" t="s">
        <v>349</v>
      </c>
      <c r="G588" s="28" t="s">
        <v>341</v>
      </c>
      <c r="H588" s="28" t="s">
        <v>266</v>
      </c>
      <c r="I588" s="28" t="s">
        <v>977</v>
      </c>
      <c r="K588" s="28" t="s">
        <v>779</v>
      </c>
      <c r="L588" s="28" t="s">
        <v>266</v>
      </c>
      <c r="M588" s="28" t="s">
        <v>753</v>
      </c>
      <c r="P588" s="28" t="s">
        <v>1381</v>
      </c>
      <c r="R588" s="28" t="s">
        <v>790</v>
      </c>
      <c r="X588" s="28" t="s">
        <v>1856</v>
      </c>
      <c r="Z588" s="28" t="s">
        <v>815</v>
      </c>
      <c r="AC588" s="28" t="s">
        <v>212</v>
      </c>
    </row>
    <row r="589" spans="4:30" x14ac:dyDescent="0.25">
      <c r="E589" s="28" t="s">
        <v>417</v>
      </c>
      <c r="F589" s="28" t="s">
        <v>340</v>
      </c>
      <c r="G589" s="28" t="s">
        <v>342</v>
      </c>
      <c r="H589" s="28" t="s">
        <v>267</v>
      </c>
      <c r="J589" s="28" t="s">
        <v>806</v>
      </c>
      <c r="L589" s="28" t="s">
        <v>275</v>
      </c>
      <c r="N589" s="28" t="s">
        <v>834</v>
      </c>
      <c r="O589" s="28" t="s">
        <v>843</v>
      </c>
      <c r="Q589" s="28" t="s">
        <v>1446</v>
      </c>
      <c r="R589" s="28" t="s">
        <v>791</v>
      </c>
      <c r="W589" s="28" t="s">
        <v>43</v>
      </c>
      <c r="X589" s="28" t="s">
        <v>1854</v>
      </c>
      <c r="Z589" s="28" t="s">
        <v>809</v>
      </c>
      <c r="AA589" s="28" t="s">
        <v>911</v>
      </c>
      <c r="AB589" s="28" t="s">
        <v>905</v>
      </c>
      <c r="AC589" s="28" t="s">
        <v>285</v>
      </c>
      <c r="AD589" s="28" t="s">
        <v>1913</v>
      </c>
    </row>
    <row r="590" spans="4:30" x14ac:dyDescent="0.25">
      <c r="D590" s="28" t="s">
        <v>328</v>
      </c>
      <c r="G590" s="28" t="s">
        <v>343</v>
      </c>
      <c r="H590" s="28" t="s">
        <v>268</v>
      </c>
      <c r="I590" s="28" t="s">
        <v>243</v>
      </c>
      <c r="J590" s="28" t="s">
        <v>807</v>
      </c>
      <c r="K590" s="28" t="s">
        <v>972</v>
      </c>
      <c r="M590" s="28" t="s">
        <v>754</v>
      </c>
      <c r="N590" s="28" t="s">
        <v>835</v>
      </c>
      <c r="O590" s="28" t="s">
        <v>844</v>
      </c>
      <c r="P590" s="28" t="s">
        <v>77</v>
      </c>
      <c r="W590" s="28" t="s">
        <v>326</v>
      </c>
      <c r="Z590" s="28" t="s">
        <v>816</v>
      </c>
      <c r="AB590" s="28" t="s">
        <v>1953</v>
      </c>
      <c r="AD590" s="28" t="s">
        <v>1893</v>
      </c>
    </row>
    <row r="591" spans="4:30" x14ac:dyDescent="0.25">
      <c r="D591" s="28" t="s">
        <v>329</v>
      </c>
      <c r="E591" s="28" t="s">
        <v>160</v>
      </c>
      <c r="F591" s="28" t="s">
        <v>350</v>
      </c>
      <c r="G591" s="28" t="s">
        <v>344</v>
      </c>
      <c r="I591" s="28" t="s">
        <v>420</v>
      </c>
      <c r="L591" s="28" t="s">
        <v>891</v>
      </c>
      <c r="M591" s="28" t="s">
        <v>755</v>
      </c>
      <c r="Q591" s="28" t="s">
        <v>1447</v>
      </c>
      <c r="R591" s="28" t="s">
        <v>792</v>
      </c>
      <c r="W591" s="28" t="s">
        <v>327</v>
      </c>
      <c r="X591" s="28" t="s">
        <v>916</v>
      </c>
      <c r="AA591" s="28" t="s">
        <v>823</v>
      </c>
      <c r="AC591" s="28" t="s">
        <v>419</v>
      </c>
    </row>
    <row r="592" spans="4:30" x14ac:dyDescent="0.25">
      <c r="F592" s="28" t="s">
        <v>351</v>
      </c>
      <c r="H592" s="28" t="s">
        <v>269</v>
      </c>
      <c r="I592" s="28" t="s">
        <v>424</v>
      </c>
      <c r="J592" s="28" t="s">
        <v>808</v>
      </c>
      <c r="K592" s="28" t="s">
        <v>972</v>
      </c>
      <c r="L592" s="28" t="s">
        <v>892</v>
      </c>
      <c r="N592" s="28" t="s">
        <v>836</v>
      </c>
      <c r="O592" s="28" t="s">
        <v>845</v>
      </c>
      <c r="P592" s="28" t="s">
        <v>1382</v>
      </c>
      <c r="R592" s="28" t="s">
        <v>792</v>
      </c>
      <c r="Z592" s="28" t="s">
        <v>909</v>
      </c>
      <c r="AA592" s="28" t="s">
        <v>809</v>
      </c>
      <c r="AB592" s="28" t="s">
        <v>326</v>
      </c>
      <c r="AC592" s="28" t="s">
        <v>212</v>
      </c>
      <c r="AD592" s="28" t="s">
        <v>433</v>
      </c>
    </row>
    <row r="593" spans="4:30" x14ac:dyDescent="0.25">
      <c r="D593" s="28" t="s">
        <v>330</v>
      </c>
      <c r="E593" s="28" t="s">
        <v>435</v>
      </c>
      <c r="F593" s="28" t="s">
        <v>352</v>
      </c>
      <c r="G593" s="28" t="s">
        <v>327</v>
      </c>
      <c r="H593" s="28" t="s">
        <v>270</v>
      </c>
      <c r="M593" s="28" t="s">
        <v>756</v>
      </c>
      <c r="O593" s="28" t="s">
        <v>846</v>
      </c>
      <c r="Q593" s="28" t="s">
        <v>422</v>
      </c>
      <c r="W593" s="28" t="s">
        <v>328</v>
      </c>
      <c r="X593" s="28" t="s">
        <v>1653</v>
      </c>
      <c r="Z593" s="28" t="s">
        <v>910</v>
      </c>
      <c r="AA593" s="28" t="s">
        <v>826</v>
      </c>
      <c r="AB593" s="28" t="s">
        <v>899</v>
      </c>
    </row>
    <row r="594" spans="4:30" x14ac:dyDescent="0.25">
      <c r="F594" s="28" t="s">
        <v>353</v>
      </c>
      <c r="G594" s="28" t="s">
        <v>347</v>
      </c>
      <c r="H594" s="28" t="s">
        <v>268</v>
      </c>
      <c r="I594" s="28" t="s">
        <v>422</v>
      </c>
      <c r="J594" s="28" t="s">
        <v>809</v>
      </c>
      <c r="K594" s="28" t="s">
        <v>1084</v>
      </c>
      <c r="L594" s="28" t="s">
        <v>779</v>
      </c>
      <c r="M594" s="28" t="s">
        <v>757</v>
      </c>
      <c r="N594" s="28" t="s">
        <v>837</v>
      </c>
      <c r="P594" s="28" t="s">
        <v>786</v>
      </c>
      <c r="Q594" s="28" t="s">
        <v>422</v>
      </c>
      <c r="R594" s="28" t="s">
        <v>779</v>
      </c>
      <c r="W594" s="28" t="s">
        <v>329</v>
      </c>
      <c r="AC594" s="28" t="s">
        <v>212</v>
      </c>
      <c r="AD594" s="28" t="s">
        <v>243</v>
      </c>
    </row>
    <row r="595" spans="4:30" x14ac:dyDescent="0.25">
      <c r="D595" s="28" t="s">
        <v>331</v>
      </c>
      <c r="E595" s="28" t="s">
        <v>432</v>
      </c>
      <c r="G595" s="28" t="s">
        <v>334</v>
      </c>
      <c r="H595" s="28" t="s">
        <v>267</v>
      </c>
      <c r="I595" s="28" t="s">
        <v>419</v>
      </c>
      <c r="J595" s="28" t="s">
        <v>810</v>
      </c>
      <c r="L595" s="28" t="s">
        <v>778</v>
      </c>
      <c r="O595" s="28" t="s">
        <v>847</v>
      </c>
      <c r="R595" s="28" t="s">
        <v>779</v>
      </c>
      <c r="X595" s="28" t="s">
        <v>1857</v>
      </c>
      <c r="Z595" s="28" t="s">
        <v>810</v>
      </c>
      <c r="AA595" s="28" t="s">
        <v>827</v>
      </c>
      <c r="AB595" s="28" t="s">
        <v>43</v>
      </c>
      <c r="AC595" s="28" t="s">
        <v>285</v>
      </c>
    </row>
    <row r="596" spans="4:30" x14ac:dyDescent="0.25">
      <c r="F596" s="28" t="s">
        <v>354</v>
      </c>
      <c r="G596" s="28" t="s">
        <v>337</v>
      </c>
      <c r="H596" s="28" t="s">
        <v>269</v>
      </c>
      <c r="I596" s="28" t="s">
        <v>160</v>
      </c>
      <c r="J596" s="28" t="s">
        <v>811</v>
      </c>
      <c r="K596" s="28" t="s">
        <v>803</v>
      </c>
      <c r="M596" s="28" t="s">
        <v>1128</v>
      </c>
      <c r="N596" s="28" t="s">
        <v>838</v>
      </c>
      <c r="O596" s="28" t="s">
        <v>848</v>
      </c>
      <c r="P596" s="28" t="s">
        <v>1383</v>
      </c>
      <c r="Q596" s="28" t="s">
        <v>1396</v>
      </c>
      <c r="W596" s="28" t="s">
        <v>1714</v>
      </c>
      <c r="AA596" s="28" t="s">
        <v>823</v>
      </c>
      <c r="AD596" s="28" t="s">
        <v>285</v>
      </c>
    </row>
    <row r="597" spans="4:30" x14ac:dyDescent="0.25">
      <c r="D597" s="28" t="s">
        <v>332</v>
      </c>
      <c r="E597" s="28" t="s">
        <v>241</v>
      </c>
      <c r="F597" s="28" t="s">
        <v>355</v>
      </c>
      <c r="G597" s="28" t="s">
        <v>348</v>
      </c>
      <c r="H597" s="28" t="s">
        <v>265</v>
      </c>
      <c r="J597" s="28" t="s">
        <v>812</v>
      </c>
      <c r="K597" s="28" t="s">
        <v>346</v>
      </c>
      <c r="L597" s="28" t="s">
        <v>1127</v>
      </c>
      <c r="P597" s="28" t="s">
        <v>1361</v>
      </c>
      <c r="R597" s="28" t="s">
        <v>793</v>
      </c>
      <c r="X597" s="28" t="s">
        <v>803</v>
      </c>
      <c r="Z597" s="28" t="s">
        <v>811</v>
      </c>
      <c r="AA597" s="28" t="s">
        <v>809</v>
      </c>
      <c r="AB597" s="28" t="s">
        <v>906</v>
      </c>
      <c r="AC597" s="28" t="s">
        <v>1982</v>
      </c>
    </row>
    <row r="598" spans="4:30" x14ac:dyDescent="0.25">
      <c r="F598" s="28" t="s">
        <v>355</v>
      </c>
      <c r="G598" s="28" t="s">
        <v>349</v>
      </c>
      <c r="H598" s="28" t="s">
        <v>254</v>
      </c>
      <c r="I598" s="28" t="s">
        <v>978</v>
      </c>
      <c r="J598" s="28" t="s">
        <v>809</v>
      </c>
      <c r="M598" s="28" t="s">
        <v>1158</v>
      </c>
      <c r="N598" s="28" t="s">
        <v>839</v>
      </c>
      <c r="O598" s="28" t="s">
        <v>829</v>
      </c>
      <c r="Q598" s="28" t="s">
        <v>417</v>
      </c>
      <c r="R598" s="28" t="s">
        <v>794</v>
      </c>
      <c r="W598" s="28" t="s">
        <v>331</v>
      </c>
      <c r="X598" s="28" t="s">
        <v>346</v>
      </c>
      <c r="Z598" s="28" t="s">
        <v>820</v>
      </c>
      <c r="AB598" s="28" t="s">
        <v>907</v>
      </c>
      <c r="AD598" s="28" t="s">
        <v>1914</v>
      </c>
    </row>
    <row r="599" spans="4:30" x14ac:dyDescent="0.25">
      <c r="D599" s="28" t="s">
        <v>333</v>
      </c>
      <c r="E599" s="28" t="s">
        <v>433</v>
      </c>
      <c r="F599" s="28" t="s">
        <v>355</v>
      </c>
      <c r="G599" s="28" t="s">
        <v>340</v>
      </c>
      <c r="J599" s="28" t="s">
        <v>813</v>
      </c>
      <c r="K599" s="28" t="s">
        <v>77</v>
      </c>
      <c r="L599" s="28" t="s">
        <v>785</v>
      </c>
      <c r="N599" s="28" t="s">
        <v>840</v>
      </c>
      <c r="P599" s="28" t="s">
        <v>326</v>
      </c>
      <c r="Z599" s="28" t="s">
        <v>821</v>
      </c>
      <c r="AA599" s="28" t="s">
        <v>912</v>
      </c>
      <c r="AC599" s="28" t="s">
        <v>1981</v>
      </c>
      <c r="AD599" s="28" t="s">
        <v>1893</v>
      </c>
    </row>
    <row r="600" spans="4:30" x14ac:dyDescent="0.25">
      <c r="D600" s="28" t="s">
        <v>334</v>
      </c>
      <c r="H600" s="28" t="s">
        <v>271</v>
      </c>
      <c r="I600" s="28" t="s">
        <v>960</v>
      </c>
      <c r="J600" s="28" t="s">
        <v>811</v>
      </c>
      <c r="M600" s="28" t="s">
        <v>160</v>
      </c>
      <c r="O600" s="28" t="s">
        <v>830</v>
      </c>
      <c r="P600" s="28" t="s">
        <v>327</v>
      </c>
      <c r="Q600" s="28" t="s">
        <v>545</v>
      </c>
      <c r="R600" s="28" t="s">
        <v>795</v>
      </c>
      <c r="W600" s="28" t="s">
        <v>332</v>
      </c>
      <c r="X600" s="28" t="s">
        <v>1858</v>
      </c>
      <c r="AB600" s="28" t="s">
        <v>212</v>
      </c>
    </row>
    <row r="601" spans="4:30" x14ac:dyDescent="0.25">
      <c r="E601" s="28" t="s">
        <v>243</v>
      </c>
      <c r="F601" s="28" t="s">
        <v>356</v>
      </c>
      <c r="G601" s="28" t="s">
        <v>350</v>
      </c>
      <c r="J601" s="28" t="s">
        <v>814</v>
      </c>
      <c r="K601" s="28" t="s">
        <v>804</v>
      </c>
      <c r="L601" s="28" t="s">
        <v>894</v>
      </c>
      <c r="N601" s="28" t="s">
        <v>841</v>
      </c>
      <c r="O601" s="28" t="s">
        <v>831</v>
      </c>
      <c r="Q601" s="28" t="s">
        <v>285</v>
      </c>
      <c r="R601" s="28" t="s">
        <v>796</v>
      </c>
      <c r="Z601" s="28" t="s">
        <v>811</v>
      </c>
      <c r="AA601" s="28" t="s">
        <v>810</v>
      </c>
      <c r="AC601" s="28" t="s">
        <v>1994</v>
      </c>
      <c r="AD601" s="28" t="s">
        <v>442</v>
      </c>
    </row>
    <row r="602" spans="4:30" x14ac:dyDescent="0.25">
      <c r="D602" s="28" t="s">
        <v>335</v>
      </c>
      <c r="G602" s="28" t="s">
        <v>351</v>
      </c>
      <c r="H602" s="28" t="s">
        <v>273</v>
      </c>
      <c r="I602" s="28" t="s">
        <v>960</v>
      </c>
      <c r="J602" s="28" t="s">
        <v>815</v>
      </c>
      <c r="M602" s="28" t="s">
        <v>759</v>
      </c>
      <c r="N602" s="28" t="s">
        <v>842</v>
      </c>
      <c r="P602" s="28" t="s">
        <v>73</v>
      </c>
      <c r="Q602" s="28" t="s">
        <v>244</v>
      </c>
      <c r="W602" s="28" t="s">
        <v>333</v>
      </c>
      <c r="X602" s="28" t="s">
        <v>1859</v>
      </c>
      <c r="Z602" s="28" t="s">
        <v>822</v>
      </c>
      <c r="AA602" s="28" t="s">
        <v>818</v>
      </c>
      <c r="AB602" s="28" t="s">
        <v>933</v>
      </c>
    </row>
    <row r="603" spans="4:30" x14ac:dyDescent="0.25">
      <c r="D603" s="28" t="s">
        <v>336</v>
      </c>
      <c r="E603" s="28" t="s">
        <v>285</v>
      </c>
      <c r="F603" s="28" t="s">
        <v>355</v>
      </c>
      <c r="G603" s="28" t="s">
        <v>352</v>
      </c>
      <c r="H603" s="28" t="s">
        <v>274</v>
      </c>
      <c r="J603" s="28" t="s">
        <v>809</v>
      </c>
      <c r="K603" s="28" t="s">
        <v>805</v>
      </c>
      <c r="L603" s="28" t="s">
        <v>895</v>
      </c>
      <c r="O603" s="28" t="s">
        <v>832</v>
      </c>
      <c r="R603" s="28" t="s">
        <v>341</v>
      </c>
      <c r="W603" s="28" t="s">
        <v>334</v>
      </c>
      <c r="Z603" s="28" t="s">
        <v>811</v>
      </c>
      <c r="AC603" s="28" t="s">
        <v>454</v>
      </c>
      <c r="AD603" s="28" t="s">
        <v>891</v>
      </c>
    </row>
    <row r="604" spans="4:30" x14ac:dyDescent="0.25">
      <c r="G604" s="28" t="s">
        <v>353</v>
      </c>
      <c r="H604" s="28" t="s">
        <v>266</v>
      </c>
      <c r="I604" s="28" t="s">
        <v>960</v>
      </c>
      <c r="J604" s="28" t="s">
        <v>816</v>
      </c>
      <c r="M604" s="28" t="s">
        <v>760</v>
      </c>
      <c r="N604" s="28" t="s">
        <v>843</v>
      </c>
      <c r="O604" s="28" t="s">
        <v>833</v>
      </c>
      <c r="P604" s="28" t="s">
        <v>906</v>
      </c>
      <c r="Q604" s="28" t="s">
        <v>1448</v>
      </c>
      <c r="R604" s="28" t="s">
        <v>797</v>
      </c>
      <c r="X604" s="28" t="s">
        <v>362</v>
      </c>
      <c r="AA604" s="28" t="s">
        <v>365</v>
      </c>
      <c r="AB604" s="28" t="s">
        <v>365</v>
      </c>
      <c r="AD604" s="28" t="s">
        <v>892</v>
      </c>
    </row>
    <row r="605" spans="4:30" x14ac:dyDescent="0.25">
      <c r="D605" s="28" t="s">
        <v>337</v>
      </c>
      <c r="E605" s="28" t="s">
        <v>417</v>
      </c>
      <c r="F605" s="28" t="s">
        <v>603</v>
      </c>
      <c r="H605" s="28" t="s">
        <v>275</v>
      </c>
      <c r="K605" s="28" t="s">
        <v>363</v>
      </c>
      <c r="L605" s="28" t="s">
        <v>896</v>
      </c>
      <c r="N605" s="28" t="s">
        <v>844</v>
      </c>
      <c r="P605" s="28" t="s">
        <v>350</v>
      </c>
      <c r="R605" s="28" t="s">
        <v>798</v>
      </c>
      <c r="W605" s="28" t="s">
        <v>1715</v>
      </c>
      <c r="Z605" s="28" t="s">
        <v>911</v>
      </c>
      <c r="AC605" s="28" t="s">
        <v>891</v>
      </c>
    </row>
    <row r="606" spans="4:30" x14ac:dyDescent="0.25">
      <c r="G606" s="28" t="s">
        <v>354</v>
      </c>
      <c r="I606" s="28" t="s">
        <v>960</v>
      </c>
      <c r="J606" s="28" t="s">
        <v>253</v>
      </c>
      <c r="M606" s="28" t="s">
        <v>1159</v>
      </c>
      <c r="O606" s="28" t="s">
        <v>834</v>
      </c>
      <c r="Q606" s="28" t="s">
        <v>422</v>
      </c>
      <c r="R606" s="28" t="s">
        <v>799</v>
      </c>
      <c r="W606" s="28" t="s">
        <v>336</v>
      </c>
      <c r="X606" s="28" t="s">
        <v>350</v>
      </c>
      <c r="AC606" s="28" t="s">
        <v>892</v>
      </c>
      <c r="AD606" s="28" t="s">
        <v>779</v>
      </c>
    </row>
    <row r="607" spans="4:30" x14ac:dyDescent="0.25">
      <c r="D607" s="28" t="s">
        <v>338</v>
      </c>
      <c r="E607" s="28" t="s">
        <v>278</v>
      </c>
      <c r="F607" s="28" t="s">
        <v>346</v>
      </c>
      <c r="G607" s="28" t="s">
        <v>355</v>
      </c>
      <c r="H607" s="28" t="s">
        <v>829</v>
      </c>
      <c r="J607" s="28" t="s">
        <v>817</v>
      </c>
      <c r="K607" s="28" t="s">
        <v>160</v>
      </c>
      <c r="L607" s="28" t="s">
        <v>897</v>
      </c>
      <c r="N607" s="28" t="s">
        <v>845</v>
      </c>
      <c r="O607" s="28" t="s">
        <v>835</v>
      </c>
      <c r="P607" s="28" t="s">
        <v>212</v>
      </c>
      <c r="Q607" s="28" t="s">
        <v>422</v>
      </c>
      <c r="Z607" s="28" t="s">
        <v>823</v>
      </c>
      <c r="AD607" s="28" t="s">
        <v>778</v>
      </c>
    </row>
    <row r="608" spans="4:30" x14ac:dyDescent="0.25">
      <c r="G608" s="28" t="s">
        <v>355</v>
      </c>
      <c r="I608" s="28" t="s">
        <v>422</v>
      </c>
      <c r="J608" s="28" t="s">
        <v>810</v>
      </c>
      <c r="M608" s="28" t="s">
        <v>1159</v>
      </c>
      <c r="N608" s="28" t="s">
        <v>846</v>
      </c>
      <c r="R608" s="28" t="s">
        <v>1497</v>
      </c>
      <c r="W608" s="28" t="s">
        <v>337</v>
      </c>
      <c r="X608" s="28" t="s">
        <v>364</v>
      </c>
      <c r="Z608" s="28" t="s">
        <v>809</v>
      </c>
      <c r="AC608" s="28" t="s">
        <v>779</v>
      </c>
    </row>
    <row r="609" spans="4:30" x14ac:dyDescent="0.25">
      <c r="D609" s="28" t="s">
        <v>339</v>
      </c>
      <c r="E609" s="28" t="s">
        <v>419</v>
      </c>
      <c r="F609" s="28" t="s">
        <v>357</v>
      </c>
      <c r="G609" s="28" t="s">
        <v>355</v>
      </c>
      <c r="H609" s="28" t="s">
        <v>829</v>
      </c>
      <c r="I609" s="28" t="s">
        <v>244</v>
      </c>
      <c r="J609" s="28" t="s">
        <v>818</v>
      </c>
      <c r="K609" s="28" t="s">
        <v>545</v>
      </c>
      <c r="L609" s="28" t="s">
        <v>898</v>
      </c>
      <c r="O609" s="28" t="s">
        <v>836</v>
      </c>
      <c r="P609" s="28" t="s">
        <v>1384</v>
      </c>
      <c r="Q609" s="28" t="s">
        <v>417</v>
      </c>
      <c r="Z609" s="28" t="s">
        <v>826</v>
      </c>
      <c r="AC609" s="28" t="s">
        <v>778</v>
      </c>
      <c r="AD609" s="28" t="s">
        <v>1995</v>
      </c>
    </row>
    <row r="610" spans="4:30" x14ac:dyDescent="0.25">
      <c r="E610" s="28" t="s">
        <v>160</v>
      </c>
      <c r="I610" s="28" t="s">
        <v>160</v>
      </c>
      <c r="J610" s="28" t="s">
        <v>819</v>
      </c>
      <c r="M610" s="28" t="s">
        <v>969</v>
      </c>
      <c r="N610" s="28" t="s">
        <v>847</v>
      </c>
      <c r="R610" s="28" t="s">
        <v>73</v>
      </c>
      <c r="W610" s="28" t="s">
        <v>338</v>
      </c>
      <c r="X610" s="28" t="s">
        <v>363</v>
      </c>
    </row>
    <row r="611" spans="4:30" x14ac:dyDescent="0.25">
      <c r="D611" s="28" t="s">
        <v>340</v>
      </c>
      <c r="F611" s="28" t="s">
        <v>358</v>
      </c>
      <c r="G611" s="28" t="s">
        <v>356</v>
      </c>
      <c r="H611" s="28" t="s">
        <v>830</v>
      </c>
      <c r="I611" s="28" t="s">
        <v>254</v>
      </c>
      <c r="J611" s="28" t="s">
        <v>811</v>
      </c>
      <c r="K611" s="28" t="s">
        <v>1087</v>
      </c>
      <c r="L611" s="28" t="s">
        <v>899</v>
      </c>
      <c r="N611" s="28" t="s">
        <v>848</v>
      </c>
      <c r="O611" s="28" t="s">
        <v>837</v>
      </c>
      <c r="P611" s="28" t="s">
        <v>1385</v>
      </c>
      <c r="Q611" s="28" t="s">
        <v>1400</v>
      </c>
      <c r="R611" s="28" t="s">
        <v>43</v>
      </c>
      <c r="Z611" s="28" t="s">
        <v>827</v>
      </c>
      <c r="AC611" s="28" t="s">
        <v>1996</v>
      </c>
      <c r="AD611" s="28" t="s">
        <v>785</v>
      </c>
    </row>
    <row r="612" spans="4:30" x14ac:dyDescent="0.25">
      <c r="E612" s="28" t="s">
        <v>160</v>
      </c>
      <c r="H612" s="28" t="s">
        <v>831</v>
      </c>
      <c r="I612" s="28" t="s">
        <v>961</v>
      </c>
      <c r="J612" s="28" t="s">
        <v>820</v>
      </c>
      <c r="K612" s="28" t="s">
        <v>1088</v>
      </c>
      <c r="M612" s="28" t="s">
        <v>970</v>
      </c>
      <c r="W612" s="28" t="s">
        <v>339</v>
      </c>
      <c r="X612" s="28" t="s">
        <v>160</v>
      </c>
      <c r="Z612" s="28" t="s">
        <v>823</v>
      </c>
    </row>
    <row r="613" spans="4:30" x14ac:dyDescent="0.25">
      <c r="D613" s="28" t="s">
        <v>341</v>
      </c>
      <c r="F613" s="28" t="s">
        <v>362</v>
      </c>
      <c r="G613" s="28" t="s">
        <v>355</v>
      </c>
      <c r="J613" s="28" t="s">
        <v>821</v>
      </c>
      <c r="L613" s="28" t="s">
        <v>900</v>
      </c>
      <c r="N613" s="28" t="s">
        <v>829</v>
      </c>
      <c r="O613" s="28" t="s">
        <v>838</v>
      </c>
      <c r="P613" s="28" t="s">
        <v>1386</v>
      </c>
      <c r="Q613" s="28" t="s">
        <v>1449</v>
      </c>
      <c r="R613" s="28" t="s">
        <v>786</v>
      </c>
      <c r="Z613" s="28" t="s">
        <v>809</v>
      </c>
      <c r="AC613" s="28" t="s">
        <v>785</v>
      </c>
      <c r="AD613" s="28" t="s">
        <v>894</v>
      </c>
    </row>
    <row r="614" spans="4:30" x14ac:dyDescent="0.25">
      <c r="D614" s="28" t="s">
        <v>342</v>
      </c>
      <c r="E614" s="28" t="s">
        <v>419</v>
      </c>
      <c r="H614" s="28" t="s">
        <v>832</v>
      </c>
      <c r="I614" s="28" t="s">
        <v>979</v>
      </c>
      <c r="K614" s="28" t="s">
        <v>1089</v>
      </c>
      <c r="M614" s="28" t="s">
        <v>1128</v>
      </c>
      <c r="R614" s="28" t="s">
        <v>1367</v>
      </c>
      <c r="W614" s="28" t="s">
        <v>340</v>
      </c>
      <c r="X614" s="28" t="s">
        <v>160</v>
      </c>
    </row>
    <row r="615" spans="4:30" x14ac:dyDescent="0.25">
      <c r="D615" s="28" t="s">
        <v>343</v>
      </c>
      <c r="E615" s="28" t="s">
        <v>212</v>
      </c>
      <c r="F615" s="28" t="s">
        <v>363</v>
      </c>
      <c r="G615" s="28" t="s">
        <v>619</v>
      </c>
      <c r="H615" s="28" t="s">
        <v>833</v>
      </c>
      <c r="J615" s="28" t="s">
        <v>811</v>
      </c>
      <c r="L615" s="28" t="s">
        <v>901</v>
      </c>
      <c r="N615" s="28" t="s">
        <v>830</v>
      </c>
      <c r="O615" s="28" t="s">
        <v>839</v>
      </c>
      <c r="P615" s="28" t="s">
        <v>245</v>
      </c>
      <c r="Q615" s="28" t="s">
        <v>422</v>
      </c>
      <c r="R615" s="28" t="s">
        <v>800</v>
      </c>
      <c r="Z615" s="28" t="s">
        <v>912</v>
      </c>
      <c r="AC615" s="28" t="s">
        <v>894</v>
      </c>
      <c r="AD615" s="28" t="s">
        <v>895</v>
      </c>
    </row>
    <row r="616" spans="4:30" x14ac:dyDescent="0.25">
      <c r="D616" s="28" t="s">
        <v>344</v>
      </c>
      <c r="I616" s="28" t="s">
        <v>964</v>
      </c>
      <c r="J616" s="28" t="s">
        <v>822</v>
      </c>
      <c r="K616" s="28" t="s">
        <v>809</v>
      </c>
      <c r="M616" s="28" t="s">
        <v>275</v>
      </c>
      <c r="N616" s="28" t="s">
        <v>831</v>
      </c>
      <c r="O616" s="28" t="s">
        <v>840</v>
      </c>
      <c r="P616" s="28" t="s">
        <v>246</v>
      </c>
      <c r="Q616" s="28" t="s">
        <v>422</v>
      </c>
      <c r="R616" s="28" t="s">
        <v>773</v>
      </c>
      <c r="W616" s="28" t="s">
        <v>341</v>
      </c>
      <c r="X616" s="28" t="s">
        <v>1860</v>
      </c>
    </row>
    <row r="617" spans="4:30" x14ac:dyDescent="0.25">
      <c r="E617" s="28" t="s">
        <v>422</v>
      </c>
      <c r="F617" s="28" t="s">
        <v>350</v>
      </c>
      <c r="G617" s="28" t="s">
        <v>346</v>
      </c>
      <c r="H617" s="28" t="s">
        <v>834</v>
      </c>
      <c r="J617" s="28" t="s">
        <v>811</v>
      </c>
      <c r="K617" s="28" t="s">
        <v>810</v>
      </c>
      <c r="L617" s="28" t="s">
        <v>902</v>
      </c>
      <c r="P617" s="28" t="s">
        <v>247</v>
      </c>
      <c r="R617" s="28" t="s">
        <v>786</v>
      </c>
      <c r="W617" s="28" t="s">
        <v>342</v>
      </c>
      <c r="X617" s="28" t="s">
        <v>1861</v>
      </c>
      <c r="Z617" s="28" t="s">
        <v>810</v>
      </c>
      <c r="AC617" s="28" t="s">
        <v>895</v>
      </c>
      <c r="AD617" s="28" t="s">
        <v>896</v>
      </c>
    </row>
    <row r="618" spans="4:30" x14ac:dyDescent="0.25">
      <c r="D618" s="28" t="s">
        <v>327</v>
      </c>
      <c r="F618" s="28" t="s">
        <v>160</v>
      </c>
      <c r="H618" s="28" t="s">
        <v>835</v>
      </c>
      <c r="I618" s="28" t="s">
        <v>965</v>
      </c>
      <c r="J618" s="28" t="s">
        <v>823</v>
      </c>
      <c r="K618" s="28" t="s">
        <v>811</v>
      </c>
      <c r="M618" s="28" t="s">
        <v>764</v>
      </c>
      <c r="N618" s="28" t="s">
        <v>832</v>
      </c>
      <c r="O618" s="28" t="s">
        <v>841</v>
      </c>
      <c r="P618" s="28" t="s">
        <v>248</v>
      </c>
      <c r="Q618" s="28" t="s">
        <v>545</v>
      </c>
      <c r="R618" s="28" t="s">
        <v>801</v>
      </c>
      <c r="W618" s="28" t="s">
        <v>343</v>
      </c>
      <c r="Z618" s="28" t="s">
        <v>818</v>
      </c>
    </row>
    <row r="619" spans="4:30" x14ac:dyDescent="0.25">
      <c r="D619" s="28" t="s">
        <v>347</v>
      </c>
      <c r="E619" s="28" t="s">
        <v>434</v>
      </c>
      <c r="G619" s="28" t="s">
        <v>357</v>
      </c>
      <c r="J619" s="28" t="s">
        <v>254</v>
      </c>
      <c r="K619" s="28" t="s">
        <v>812</v>
      </c>
      <c r="L619" s="28" t="s">
        <v>903</v>
      </c>
      <c r="N619" s="28" t="s">
        <v>833</v>
      </c>
      <c r="O619" s="28" t="s">
        <v>842</v>
      </c>
      <c r="P619" s="28" t="s">
        <v>245</v>
      </c>
      <c r="Q619" s="28" t="s">
        <v>285</v>
      </c>
      <c r="R619" s="28" t="s">
        <v>774</v>
      </c>
      <c r="W619" s="28" t="s">
        <v>344</v>
      </c>
      <c r="X619" s="28" t="s">
        <v>1089</v>
      </c>
      <c r="AC619" s="28" t="s">
        <v>896</v>
      </c>
      <c r="AD619" s="28" t="s">
        <v>897</v>
      </c>
    </row>
    <row r="620" spans="4:30" x14ac:dyDescent="0.25">
      <c r="D620" s="28" t="s">
        <v>334</v>
      </c>
      <c r="F620" s="28" t="s">
        <v>364</v>
      </c>
      <c r="H620" s="28" t="s">
        <v>836</v>
      </c>
      <c r="I620" s="28" t="s">
        <v>964</v>
      </c>
      <c r="J620" s="28" t="s">
        <v>824</v>
      </c>
      <c r="K620" s="28" t="s">
        <v>809</v>
      </c>
      <c r="M620" s="28" t="s">
        <v>765</v>
      </c>
      <c r="P620" s="28" t="s">
        <v>249</v>
      </c>
      <c r="Q620" s="28" t="s">
        <v>244</v>
      </c>
      <c r="R620" s="28" t="s">
        <v>802</v>
      </c>
      <c r="Z620" s="28" t="s">
        <v>365</v>
      </c>
    </row>
    <row r="621" spans="4:30" x14ac:dyDescent="0.25">
      <c r="D621" s="28" t="s">
        <v>337</v>
      </c>
      <c r="E621" s="28" t="s">
        <v>435</v>
      </c>
      <c r="G621" s="28" t="s">
        <v>358</v>
      </c>
      <c r="J621" s="28" t="s">
        <v>825</v>
      </c>
      <c r="K621" s="28" t="s">
        <v>813</v>
      </c>
      <c r="L621" s="28" t="s">
        <v>77</v>
      </c>
      <c r="N621" s="28" t="s">
        <v>834</v>
      </c>
      <c r="O621" s="28" t="s">
        <v>849</v>
      </c>
      <c r="P621" s="28" t="s">
        <v>247</v>
      </c>
      <c r="R621" s="28" t="s">
        <v>775</v>
      </c>
      <c r="W621" s="28" t="s">
        <v>1716</v>
      </c>
      <c r="X621" s="28" t="s">
        <v>365</v>
      </c>
      <c r="AC621" s="28" t="s">
        <v>897</v>
      </c>
      <c r="AD621" s="28" t="s">
        <v>898</v>
      </c>
    </row>
    <row r="622" spans="4:30" x14ac:dyDescent="0.25">
      <c r="D622" s="28" t="s">
        <v>348</v>
      </c>
      <c r="F622" s="28" t="s">
        <v>160</v>
      </c>
      <c r="H622" s="28" t="s">
        <v>837</v>
      </c>
      <c r="I622" s="28" t="s">
        <v>966</v>
      </c>
      <c r="J622" s="28" t="s">
        <v>823</v>
      </c>
      <c r="K622" s="28" t="s">
        <v>811</v>
      </c>
      <c r="M622" s="28" t="s">
        <v>363</v>
      </c>
      <c r="N622" s="28" t="s">
        <v>835</v>
      </c>
      <c r="O622" s="28" t="s">
        <v>850</v>
      </c>
      <c r="P622" s="28" t="s">
        <v>250</v>
      </c>
      <c r="Q622" s="28" t="s">
        <v>212</v>
      </c>
    </row>
    <row r="623" spans="4:30" x14ac:dyDescent="0.25">
      <c r="D623" s="28" t="s">
        <v>349</v>
      </c>
      <c r="E623" s="28" t="s">
        <v>479</v>
      </c>
      <c r="G623" s="28" t="s">
        <v>362</v>
      </c>
      <c r="J623" s="28" t="s">
        <v>809</v>
      </c>
      <c r="K623" s="28" t="s">
        <v>814</v>
      </c>
      <c r="L623" s="28" t="s">
        <v>904</v>
      </c>
      <c r="O623" s="28" t="s">
        <v>1308</v>
      </c>
      <c r="P623" s="28" t="s">
        <v>251</v>
      </c>
      <c r="R623" s="28" t="s">
        <v>778</v>
      </c>
      <c r="W623" s="28" t="s">
        <v>346</v>
      </c>
      <c r="AC623" s="28" t="s">
        <v>898</v>
      </c>
      <c r="AD623" s="28" t="s">
        <v>899</v>
      </c>
    </row>
    <row r="624" spans="4:30" x14ac:dyDescent="0.25">
      <c r="D624" s="28" t="s">
        <v>340</v>
      </c>
      <c r="F624" s="28" t="s">
        <v>604</v>
      </c>
      <c r="H624" s="28" t="s">
        <v>838</v>
      </c>
      <c r="I624" s="28" t="s">
        <v>967</v>
      </c>
      <c r="J624" s="28" t="s">
        <v>826</v>
      </c>
      <c r="K624" s="28" t="s">
        <v>815</v>
      </c>
      <c r="M624" s="28" t="s">
        <v>82</v>
      </c>
      <c r="N624" s="28" t="s">
        <v>836</v>
      </c>
      <c r="O624" s="28" t="s">
        <v>1309</v>
      </c>
      <c r="P624" s="28" t="s">
        <v>245</v>
      </c>
      <c r="Q624" s="28" t="s">
        <v>160</v>
      </c>
    </row>
    <row r="625" spans="4:30" x14ac:dyDescent="0.25">
      <c r="E625" s="28" t="s">
        <v>449</v>
      </c>
      <c r="G625" s="28" t="s">
        <v>363</v>
      </c>
      <c r="K625" s="28" t="s">
        <v>809</v>
      </c>
      <c r="L625" s="28" t="s">
        <v>780</v>
      </c>
      <c r="O625" s="28" t="s">
        <v>1310</v>
      </c>
      <c r="P625" s="28" t="s">
        <v>252</v>
      </c>
      <c r="Q625" s="28" t="s">
        <v>244</v>
      </c>
      <c r="R625" s="28" t="s">
        <v>777</v>
      </c>
      <c r="W625" s="28" t="s">
        <v>327</v>
      </c>
      <c r="AC625" s="28" t="s">
        <v>899</v>
      </c>
      <c r="AD625" s="28" t="s">
        <v>900</v>
      </c>
    </row>
    <row r="626" spans="4:30" x14ac:dyDescent="0.25">
      <c r="D626" s="28" t="s">
        <v>350</v>
      </c>
      <c r="F626" s="28" t="s">
        <v>605</v>
      </c>
      <c r="H626" s="28" t="s">
        <v>839</v>
      </c>
      <c r="I626" s="28" t="s">
        <v>968</v>
      </c>
      <c r="J626" s="28" t="s">
        <v>827</v>
      </c>
      <c r="K626" s="28" t="s">
        <v>816</v>
      </c>
      <c r="M626" s="28" t="s">
        <v>766</v>
      </c>
      <c r="N626" s="28" t="s">
        <v>837</v>
      </c>
      <c r="O626" s="28" t="s">
        <v>1311</v>
      </c>
      <c r="Q626" s="28" t="s">
        <v>244</v>
      </c>
      <c r="W626" s="28" t="s">
        <v>347</v>
      </c>
    </row>
    <row r="627" spans="4:30" x14ac:dyDescent="0.25">
      <c r="D627" s="28" t="s">
        <v>351</v>
      </c>
      <c r="E627" s="28" t="s">
        <v>449</v>
      </c>
      <c r="G627" s="28" t="s">
        <v>350</v>
      </c>
      <c r="H627" s="28" t="s">
        <v>840</v>
      </c>
      <c r="J627" s="28" t="s">
        <v>823</v>
      </c>
      <c r="L627" s="28" t="s">
        <v>905</v>
      </c>
      <c r="P627" s="28" t="s">
        <v>253</v>
      </c>
      <c r="R627" s="28" t="s">
        <v>779</v>
      </c>
      <c r="W627" s="28" t="s">
        <v>334</v>
      </c>
      <c r="AC627" s="28" t="s">
        <v>900</v>
      </c>
      <c r="AD627" s="28" t="s">
        <v>901</v>
      </c>
    </row>
    <row r="628" spans="4:30" x14ac:dyDescent="0.25">
      <c r="D628" s="28" t="s">
        <v>352</v>
      </c>
      <c r="F628" s="28" t="s">
        <v>478</v>
      </c>
      <c r="G628" s="28" t="s">
        <v>160</v>
      </c>
      <c r="I628" s="28" t="s">
        <v>951</v>
      </c>
      <c r="J628" s="28" t="s">
        <v>809</v>
      </c>
      <c r="K628" s="28" t="s">
        <v>909</v>
      </c>
      <c r="L628" s="28" t="s">
        <v>1124</v>
      </c>
      <c r="M628" s="28" t="s">
        <v>767</v>
      </c>
      <c r="N628" s="28" t="s">
        <v>838</v>
      </c>
      <c r="O628" s="28" t="s">
        <v>1285</v>
      </c>
      <c r="Q628" s="28" t="s">
        <v>419</v>
      </c>
      <c r="W628" s="28" t="s">
        <v>337</v>
      </c>
    </row>
    <row r="629" spans="4:30" x14ac:dyDescent="0.25">
      <c r="D629" s="28" t="s">
        <v>353</v>
      </c>
      <c r="E629" s="28" t="s">
        <v>423</v>
      </c>
      <c r="H629" s="28" t="s">
        <v>841</v>
      </c>
      <c r="J629" s="28" t="s">
        <v>828</v>
      </c>
      <c r="K629" s="28" t="s">
        <v>910</v>
      </c>
      <c r="O629" s="28" t="s">
        <v>1281</v>
      </c>
      <c r="P629" s="28" t="s">
        <v>254</v>
      </c>
      <c r="Q629" s="28" t="s">
        <v>243</v>
      </c>
      <c r="R629" s="28" t="s">
        <v>786</v>
      </c>
      <c r="W629" s="28" t="s">
        <v>348</v>
      </c>
      <c r="AC629" s="28" t="s">
        <v>901</v>
      </c>
      <c r="AD629" s="28" t="s">
        <v>902</v>
      </c>
    </row>
    <row r="630" spans="4:30" x14ac:dyDescent="0.25">
      <c r="F630" s="28" t="s">
        <v>365</v>
      </c>
      <c r="G630" s="28" t="s">
        <v>364</v>
      </c>
      <c r="H630" s="28" t="s">
        <v>842</v>
      </c>
      <c r="I630" s="28" t="s">
        <v>891</v>
      </c>
      <c r="J630" s="28" t="s">
        <v>254</v>
      </c>
      <c r="L630" s="28" t="s">
        <v>326</v>
      </c>
      <c r="M630" s="28" t="s">
        <v>768</v>
      </c>
      <c r="N630" s="28" t="s">
        <v>839</v>
      </c>
      <c r="O630" s="28" t="s">
        <v>1285</v>
      </c>
      <c r="P630" s="28" t="s">
        <v>255</v>
      </c>
      <c r="Q630" s="28" t="s">
        <v>244</v>
      </c>
      <c r="W630" s="28" t="s">
        <v>349</v>
      </c>
    </row>
    <row r="631" spans="4:30" x14ac:dyDescent="0.25">
      <c r="D631" s="28" t="s">
        <v>354</v>
      </c>
      <c r="E631" s="28" t="s">
        <v>160</v>
      </c>
      <c r="I631" s="28" t="s">
        <v>892</v>
      </c>
      <c r="J631" s="28" t="s">
        <v>253</v>
      </c>
      <c r="K631" s="28" t="s">
        <v>810</v>
      </c>
      <c r="L631" s="28" t="s">
        <v>899</v>
      </c>
      <c r="N631" s="28" t="s">
        <v>840</v>
      </c>
      <c r="O631" s="28" t="s">
        <v>1281</v>
      </c>
      <c r="P631" s="28" t="s">
        <v>248</v>
      </c>
      <c r="R631" s="28" t="s">
        <v>786</v>
      </c>
      <c r="W631" s="28" t="s">
        <v>340</v>
      </c>
      <c r="AC631" s="28" t="s">
        <v>902</v>
      </c>
      <c r="AD631" s="28" t="s">
        <v>903</v>
      </c>
    </row>
    <row r="632" spans="4:30" x14ac:dyDescent="0.25">
      <c r="D632" s="28" t="s">
        <v>355</v>
      </c>
      <c r="G632" s="28" t="s">
        <v>160</v>
      </c>
      <c r="H632" s="28" t="s">
        <v>843</v>
      </c>
      <c r="J632" s="28" t="s">
        <v>817</v>
      </c>
      <c r="M632" s="28" t="s">
        <v>674</v>
      </c>
      <c r="P632" s="28" t="s">
        <v>246</v>
      </c>
      <c r="Q632" s="28" t="s">
        <v>212</v>
      </c>
    </row>
    <row r="633" spans="4:30" x14ac:dyDescent="0.25">
      <c r="D633" s="28" t="s">
        <v>355</v>
      </c>
      <c r="E633" s="28" t="s">
        <v>419</v>
      </c>
      <c r="H633" s="28" t="s">
        <v>844</v>
      </c>
      <c r="I633" s="28" t="s">
        <v>779</v>
      </c>
      <c r="J633" s="28" t="s">
        <v>810</v>
      </c>
      <c r="K633" s="28" t="s">
        <v>811</v>
      </c>
      <c r="L633" s="28" t="s">
        <v>73</v>
      </c>
      <c r="N633" s="28" t="s">
        <v>849</v>
      </c>
      <c r="O633" s="28" t="s">
        <v>1283</v>
      </c>
      <c r="P633" s="28" t="s">
        <v>256</v>
      </c>
      <c r="R633" s="28" t="s">
        <v>77</v>
      </c>
      <c r="W633" s="28" t="s">
        <v>350</v>
      </c>
      <c r="AC633" s="28" t="s">
        <v>903</v>
      </c>
      <c r="AD633" s="28" t="s">
        <v>1997</v>
      </c>
    </row>
    <row r="634" spans="4:30" x14ac:dyDescent="0.25">
      <c r="D634" s="28" t="s">
        <v>355</v>
      </c>
      <c r="E634" s="28" t="s">
        <v>212</v>
      </c>
      <c r="G634" s="28" t="s">
        <v>620</v>
      </c>
      <c r="I634" s="28" t="s">
        <v>778</v>
      </c>
      <c r="J634" s="28" t="s">
        <v>818</v>
      </c>
      <c r="K634" s="28" t="s">
        <v>820</v>
      </c>
      <c r="M634" s="28" t="s">
        <v>769</v>
      </c>
      <c r="N634" s="28" t="s">
        <v>850</v>
      </c>
      <c r="O634" s="28" t="s">
        <v>1285</v>
      </c>
      <c r="Q634" s="28" t="s">
        <v>212</v>
      </c>
      <c r="W634" s="28" t="s">
        <v>351</v>
      </c>
    </row>
    <row r="635" spans="4:30" x14ac:dyDescent="0.25">
      <c r="H635" s="28" t="s">
        <v>845</v>
      </c>
      <c r="K635" s="28" t="s">
        <v>821</v>
      </c>
      <c r="L635" s="28" t="s">
        <v>906</v>
      </c>
      <c r="N635" s="28" t="s">
        <v>1214</v>
      </c>
      <c r="O635" s="28" t="s">
        <v>1282</v>
      </c>
      <c r="P635" s="28" t="s">
        <v>254</v>
      </c>
      <c r="R635" s="28" t="s">
        <v>1508</v>
      </c>
      <c r="W635" s="28" t="s">
        <v>1717</v>
      </c>
      <c r="AC635" s="28" t="s">
        <v>1998</v>
      </c>
      <c r="AD635" s="28" t="s">
        <v>1866</v>
      </c>
    </row>
    <row r="636" spans="4:30" x14ac:dyDescent="0.25">
      <c r="D636" s="28" t="s">
        <v>356</v>
      </c>
      <c r="E636" s="28" t="s">
        <v>212</v>
      </c>
      <c r="G636" s="28" t="s">
        <v>621</v>
      </c>
      <c r="H636" s="28" t="s">
        <v>846</v>
      </c>
      <c r="I636" s="28" t="s">
        <v>980</v>
      </c>
      <c r="J636" s="28" t="s">
        <v>265</v>
      </c>
      <c r="L636" s="28" t="s">
        <v>907</v>
      </c>
      <c r="M636" s="28" t="s">
        <v>770</v>
      </c>
      <c r="N636" s="28" t="s">
        <v>1215</v>
      </c>
      <c r="O636" s="28" t="s">
        <v>1283</v>
      </c>
      <c r="P636" s="28" t="s">
        <v>255</v>
      </c>
      <c r="Q636" s="28" t="s">
        <v>1396</v>
      </c>
      <c r="R636" s="28" t="s">
        <v>1509</v>
      </c>
      <c r="W636" s="28" t="s">
        <v>353</v>
      </c>
    </row>
    <row r="637" spans="4:30" x14ac:dyDescent="0.25">
      <c r="E637" s="28" t="s">
        <v>160</v>
      </c>
      <c r="J637" s="28" t="s">
        <v>266</v>
      </c>
      <c r="K637" s="28" t="s">
        <v>811</v>
      </c>
      <c r="M637" s="28" t="s">
        <v>1160</v>
      </c>
      <c r="N637" s="28" t="s">
        <v>1216</v>
      </c>
      <c r="AC637" s="28" t="s">
        <v>1866</v>
      </c>
      <c r="AD637" s="28" t="s">
        <v>1886</v>
      </c>
    </row>
    <row r="638" spans="4:30" x14ac:dyDescent="0.25">
      <c r="D638" s="28" t="s">
        <v>355</v>
      </c>
      <c r="G638" s="28" t="s">
        <v>478</v>
      </c>
      <c r="H638" s="28" t="s">
        <v>847</v>
      </c>
      <c r="I638" s="28" t="s">
        <v>785</v>
      </c>
      <c r="J638" s="28" t="s">
        <v>267</v>
      </c>
      <c r="K638" s="28" t="s">
        <v>822</v>
      </c>
      <c r="L638" s="28" t="s">
        <v>212</v>
      </c>
      <c r="N638" s="28" t="s">
        <v>1217</v>
      </c>
      <c r="O638" s="28" t="s">
        <v>1220</v>
      </c>
      <c r="P638" s="28" t="s">
        <v>257</v>
      </c>
      <c r="Q638" s="28" t="s">
        <v>1450</v>
      </c>
      <c r="R638" s="28" t="s">
        <v>803</v>
      </c>
      <c r="W638" s="28" t="s">
        <v>354</v>
      </c>
    </row>
    <row r="639" spans="4:30" x14ac:dyDescent="0.25">
      <c r="E639" s="28" t="s">
        <v>423</v>
      </c>
      <c r="H639" s="28" t="s">
        <v>848</v>
      </c>
      <c r="J639" s="28" t="s">
        <v>268</v>
      </c>
      <c r="K639" s="28" t="s">
        <v>811</v>
      </c>
      <c r="M639" s="28" t="s">
        <v>772</v>
      </c>
      <c r="N639" s="28" t="s">
        <v>1218</v>
      </c>
      <c r="O639" s="28" t="s">
        <v>859</v>
      </c>
      <c r="P639" s="28" t="s">
        <v>247</v>
      </c>
      <c r="R639" s="28" t="s">
        <v>346</v>
      </c>
      <c r="W639" s="28" t="s">
        <v>1541</v>
      </c>
      <c r="AC639" s="28" t="s">
        <v>1886</v>
      </c>
      <c r="AD639" s="28" t="s">
        <v>905</v>
      </c>
    </row>
    <row r="640" spans="4:30" x14ac:dyDescent="0.25">
      <c r="D640" s="28" t="s">
        <v>475</v>
      </c>
      <c r="G640" s="28" t="s">
        <v>365</v>
      </c>
      <c r="I640" s="28" t="s">
        <v>894</v>
      </c>
      <c r="L640" s="28" t="s">
        <v>908</v>
      </c>
      <c r="M640" s="28" t="s">
        <v>773</v>
      </c>
      <c r="N640" s="28" t="s">
        <v>1219</v>
      </c>
      <c r="O640" s="28" t="s">
        <v>858</v>
      </c>
      <c r="P640" s="28" t="s">
        <v>258</v>
      </c>
      <c r="Q640" s="28" t="s">
        <v>422</v>
      </c>
      <c r="W640" s="28" t="s">
        <v>1541</v>
      </c>
      <c r="AD640" s="28" t="s">
        <v>1973</v>
      </c>
    </row>
    <row r="641" spans="4:30" x14ac:dyDescent="0.25">
      <c r="E641" s="28" t="s">
        <v>215</v>
      </c>
      <c r="H641" s="28" t="s">
        <v>830</v>
      </c>
      <c r="J641" s="28" t="s">
        <v>269</v>
      </c>
      <c r="K641" s="28" t="s">
        <v>911</v>
      </c>
      <c r="M641" s="28" t="s">
        <v>774</v>
      </c>
      <c r="O641" s="28" t="s">
        <v>859</v>
      </c>
      <c r="P641" s="28" t="s">
        <v>259</v>
      </c>
      <c r="Q641" s="28" t="s">
        <v>422</v>
      </c>
      <c r="R641" s="28" t="s">
        <v>804</v>
      </c>
      <c r="W641" s="28" t="s">
        <v>1541</v>
      </c>
      <c r="AC641" s="28" t="s">
        <v>905</v>
      </c>
    </row>
    <row r="642" spans="4:30" x14ac:dyDescent="0.25">
      <c r="D642" s="28" t="s">
        <v>346</v>
      </c>
      <c r="H642" s="28" t="s">
        <v>831</v>
      </c>
      <c r="I642" s="28" t="s">
        <v>895</v>
      </c>
      <c r="J642" s="28" t="s">
        <v>270</v>
      </c>
      <c r="L642" s="28" t="s">
        <v>365</v>
      </c>
      <c r="M642" s="28" t="s">
        <v>775</v>
      </c>
      <c r="N642" s="28" t="s">
        <v>1170</v>
      </c>
      <c r="AC642" s="28" t="s">
        <v>1972</v>
      </c>
      <c r="AD642" s="28" t="s">
        <v>326</v>
      </c>
    </row>
    <row r="643" spans="4:30" x14ac:dyDescent="0.25">
      <c r="E643" s="28" t="s">
        <v>421</v>
      </c>
      <c r="J643" s="28" t="s">
        <v>268</v>
      </c>
      <c r="K643" s="28" t="s">
        <v>823</v>
      </c>
      <c r="N643" s="28" t="s">
        <v>1173</v>
      </c>
      <c r="O643" s="28" t="s">
        <v>860</v>
      </c>
      <c r="P643" s="28" t="s">
        <v>247</v>
      </c>
      <c r="Q643" s="28" t="s">
        <v>1405</v>
      </c>
      <c r="R643" s="28" t="s">
        <v>805</v>
      </c>
      <c r="W643" s="28" t="s">
        <v>356</v>
      </c>
      <c r="AD643" s="28" t="s">
        <v>899</v>
      </c>
    </row>
    <row r="644" spans="4:30" x14ac:dyDescent="0.25">
      <c r="D644" s="28" t="s">
        <v>357</v>
      </c>
      <c r="H644" s="28" t="s">
        <v>832</v>
      </c>
      <c r="I644" s="28" t="s">
        <v>896</v>
      </c>
      <c r="J644" s="28" t="s">
        <v>267</v>
      </c>
      <c r="K644" s="28" t="s">
        <v>809</v>
      </c>
      <c r="M644" s="28" t="s">
        <v>776</v>
      </c>
      <c r="N644" s="28" t="s">
        <v>1169</v>
      </c>
      <c r="O644" s="28" t="s">
        <v>500</v>
      </c>
      <c r="P644" s="28" t="s">
        <v>260</v>
      </c>
      <c r="AC644" s="28" t="s">
        <v>326</v>
      </c>
    </row>
    <row r="645" spans="4:30" x14ac:dyDescent="0.25">
      <c r="E645" s="28" t="s">
        <v>255</v>
      </c>
      <c r="H645" s="28" t="s">
        <v>833</v>
      </c>
      <c r="J645" s="28" t="s">
        <v>269</v>
      </c>
      <c r="K645" s="28" t="s">
        <v>826</v>
      </c>
      <c r="M645" s="28" t="s">
        <v>777</v>
      </c>
      <c r="N645" s="28" t="s">
        <v>1169</v>
      </c>
      <c r="O645" s="28" t="s">
        <v>500</v>
      </c>
      <c r="P645" s="28" t="s">
        <v>247</v>
      </c>
      <c r="Q645" s="28" t="s">
        <v>1399</v>
      </c>
      <c r="R645" s="28" t="s">
        <v>363</v>
      </c>
      <c r="W645" s="28" t="s">
        <v>1541</v>
      </c>
      <c r="AC645" s="28" t="s">
        <v>899</v>
      </c>
      <c r="AD645" s="28" t="s">
        <v>43</v>
      </c>
    </row>
    <row r="646" spans="4:30" x14ac:dyDescent="0.25">
      <c r="D646" s="28" t="s">
        <v>358</v>
      </c>
      <c r="I646" s="28" t="s">
        <v>897</v>
      </c>
      <c r="J646" s="28" t="s">
        <v>265</v>
      </c>
      <c r="M646" s="28" t="s">
        <v>778</v>
      </c>
      <c r="N646" s="28" t="s">
        <v>1174</v>
      </c>
      <c r="O646" s="28" t="s">
        <v>500</v>
      </c>
      <c r="P646" s="28" t="s">
        <v>261</v>
      </c>
    </row>
    <row r="647" spans="4:30" x14ac:dyDescent="0.25">
      <c r="E647" s="28" t="s">
        <v>243</v>
      </c>
      <c r="H647" s="28" t="s">
        <v>834</v>
      </c>
      <c r="J647" s="28" t="s">
        <v>254</v>
      </c>
      <c r="K647" s="28" t="s">
        <v>827</v>
      </c>
      <c r="M647" s="28" t="s">
        <v>779</v>
      </c>
      <c r="N647" s="28" t="s">
        <v>1169</v>
      </c>
      <c r="P647" s="28" t="s">
        <v>254</v>
      </c>
      <c r="Q647" s="28" t="s">
        <v>1005</v>
      </c>
      <c r="R647" s="28" t="s">
        <v>160</v>
      </c>
      <c r="W647" s="28" t="s">
        <v>1718</v>
      </c>
      <c r="AC647" s="28" t="s">
        <v>43</v>
      </c>
      <c r="AD647" s="28" t="s">
        <v>906</v>
      </c>
    </row>
    <row r="648" spans="4:30" x14ac:dyDescent="0.25">
      <c r="D648" s="28" t="s">
        <v>362</v>
      </c>
      <c r="E648" s="28" t="s">
        <v>422</v>
      </c>
      <c r="H648" s="28" t="s">
        <v>835</v>
      </c>
      <c r="I648" s="28" t="s">
        <v>898</v>
      </c>
      <c r="K648" s="28" t="s">
        <v>823</v>
      </c>
      <c r="O648" s="28" t="s">
        <v>861</v>
      </c>
      <c r="Q648" s="28" t="s">
        <v>1397</v>
      </c>
      <c r="AD648" s="28" t="s">
        <v>907</v>
      </c>
    </row>
    <row r="649" spans="4:30" x14ac:dyDescent="0.25">
      <c r="E649" s="28" t="s">
        <v>420</v>
      </c>
      <c r="J649" s="28" t="s">
        <v>271</v>
      </c>
      <c r="K649" s="28" t="s">
        <v>809</v>
      </c>
      <c r="M649" s="28" t="s">
        <v>972</v>
      </c>
      <c r="N649" s="28" t="s">
        <v>1174</v>
      </c>
      <c r="O649" s="28" t="s">
        <v>499</v>
      </c>
      <c r="P649" s="28" t="s">
        <v>262</v>
      </c>
      <c r="R649" s="28" t="s">
        <v>243</v>
      </c>
      <c r="W649" s="28" t="s">
        <v>1719</v>
      </c>
      <c r="AC649" s="28" t="s">
        <v>906</v>
      </c>
    </row>
    <row r="650" spans="4:30" x14ac:dyDescent="0.25">
      <c r="D650" s="28" t="s">
        <v>363</v>
      </c>
      <c r="H650" s="28" t="s">
        <v>836</v>
      </c>
      <c r="I650" s="28" t="s">
        <v>899</v>
      </c>
      <c r="K650" s="28" t="s">
        <v>976</v>
      </c>
      <c r="N650" s="28" t="s">
        <v>1172</v>
      </c>
      <c r="O650" s="28" t="s">
        <v>862</v>
      </c>
      <c r="Q650" s="28" t="s">
        <v>1408</v>
      </c>
      <c r="AC650" s="28" t="s">
        <v>907</v>
      </c>
      <c r="AD650" s="28" t="s">
        <v>212</v>
      </c>
    </row>
    <row r="651" spans="4:30" x14ac:dyDescent="0.25">
      <c r="E651" s="28" t="s">
        <v>419</v>
      </c>
      <c r="J651" s="28" t="s">
        <v>273</v>
      </c>
      <c r="K651" s="28" t="s">
        <v>909</v>
      </c>
      <c r="M651" s="28" t="s">
        <v>972</v>
      </c>
      <c r="N651" s="28" t="s">
        <v>1173</v>
      </c>
      <c r="O651" s="28" t="s">
        <v>497</v>
      </c>
      <c r="P651" s="28" t="s">
        <v>254</v>
      </c>
      <c r="R651" s="28" t="s">
        <v>808</v>
      </c>
      <c r="W651" s="28" t="s">
        <v>1720</v>
      </c>
    </row>
    <row r="652" spans="4:30" x14ac:dyDescent="0.25">
      <c r="D652" s="28" t="s">
        <v>350</v>
      </c>
      <c r="E652" s="28" t="s">
        <v>285</v>
      </c>
      <c r="H652" s="28" t="s">
        <v>837</v>
      </c>
      <c r="I652" s="28" t="s">
        <v>900</v>
      </c>
      <c r="J652" s="28" t="s">
        <v>274</v>
      </c>
      <c r="N652" s="28" t="s">
        <v>1174</v>
      </c>
      <c r="O652" s="28" t="s">
        <v>862</v>
      </c>
      <c r="P652" s="28" t="s">
        <v>255</v>
      </c>
      <c r="Q652" s="28" t="s">
        <v>1409</v>
      </c>
      <c r="AC652" s="28" t="s">
        <v>212</v>
      </c>
      <c r="AD652" s="28" t="s">
        <v>1999</v>
      </c>
    </row>
    <row r="653" spans="4:30" x14ac:dyDescent="0.25">
      <c r="D653" s="28" t="s">
        <v>160</v>
      </c>
      <c r="J653" s="28" t="s">
        <v>266</v>
      </c>
      <c r="K653" s="28" t="s">
        <v>810</v>
      </c>
      <c r="M653" s="28" t="s">
        <v>972</v>
      </c>
      <c r="N653" s="28" t="s">
        <v>1175</v>
      </c>
      <c r="P653" s="28" t="s">
        <v>263</v>
      </c>
      <c r="R653" s="28" t="s">
        <v>1371</v>
      </c>
      <c r="W653" s="28" t="s">
        <v>1721</v>
      </c>
    </row>
    <row r="654" spans="4:30" x14ac:dyDescent="0.25">
      <c r="E654" s="28" t="s">
        <v>255</v>
      </c>
      <c r="H654" s="28" t="s">
        <v>838</v>
      </c>
      <c r="I654" s="28" t="s">
        <v>901</v>
      </c>
      <c r="J654" s="28" t="s">
        <v>275</v>
      </c>
      <c r="K654" s="28" t="s">
        <v>818</v>
      </c>
      <c r="N654" s="28" t="s">
        <v>1171</v>
      </c>
      <c r="O654" s="28" t="s">
        <v>863</v>
      </c>
      <c r="P654" s="28" t="s">
        <v>261</v>
      </c>
      <c r="Q654" s="28" t="s">
        <v>422</v>
      </c>
      <c r="R654" s="28" t="s">
        <v>194</v>
      </c>
      <c r="AC654" s="28" t="s">
        <v>1999</v>
      </c>
      <c r="AD654" s="28" t="s">
        <v>365</v>
      </c>
    </row>
    <row r="655" spans="4:30" x14ac:dyDescent="0.25">
      <c r="D655" s="28" t="s">
        <v>364</v>
      </c>
      <c r="M655" s="28" t="s">
        <v>781</v>
      </c>
      <c r="O655" s="28" t="s">
        <v>1312</v>
      </c>
      <c r="P655" s="28" t="s">
        <v>245</v>
      </c>
      <c r="Q655" s="28" t="s">
        <v>422</v>
      </c>
      <c r="W655" s="28" t="s">
        <v>478</v>
      </c>
    </row>
    <row r="656" spans="4:30" x14ac:dyDescent="0.25">
      <c r="E656" s="28" t="s">
        <v>243</v>
      </c>
      <c r="H656" s="28" t="s">
        <v>839</v>
      </c>
      <c r="I656" s="28" t="s">
        <v>902</v>
      </c>
      <c r="J656" s="28" t="s">
        <v>829</v>
      </c>
      <c r="K656" s="28" t="s">
        <v>265</v>
      </c>
      <c r="N656" s="28" t="s">
        <v>1220</v>
      </c>
      <c r="O656" s="28" t="s">
        <v>593</v>
      </c>
      <c r="P656" s="28" t="s">
        <v>264</v>
      </c>
      <c r="R656" s="28" t="s">
        <v>190</v>
      </c>
      <c r="AC656" s="28" t="s">
        <v>365</v>
      </c>
    </row>
    <row r="657" spans="4:23" x14ac:dyDescent="0.25">
      <c r="D657" s="28" t="s">
        <v>160</v>
      </c>
      <c r="E657" s="28" t="s">
        <v>422</v>
      </c>
      <c r="H657" s="28" t="s">
        <v>840</v>
      </c>
      <c r="K657" s="28" t="s">
        <v>266</v>
      </c>
      <c r="M657" s="28" t="s">
        <v>782</v>
      </c>
      <c r="N657" s="28" t="s">
        <v>1221</v>
      </c>
      <c r="O657" s="28" t="s">
        <v>658</v>
      </c>
      <c r="Q657" s="28" t="s">
        <v>1451</v>
      </c>
      <c r="W657" s="28" t="s">
        <v>362</v>
      </c>
    </row>
    <row r="658" spans="4:23" x14ac:dyDescent="0.25">
      <c r="E658" s="28" t="s">
        <v>420</v>
      </c>
      <c r="I658" s="28" t="s">
        <v>903</v>
      </c>
      <c r="J658" s="28" t="s">
        <v>830</v>
      </c>
      <c r="K658" s="28" t="s">
        <v>267</v>
      </c>
      <c r="N658" s="28" t="s">
        <v>1222</v>
      </c>
      <c r="P658" s="28" t="s">
        <v>255</v>
      </c>
      <c r="R658" s="28" t="s">
        <v>1377</v>
      </c>
    </row>
    <row r="659" spans="4:23" x14ac:dyDescent="0.25">
      <c r="D659" s="28" t="s">
        <v>476</v>
      </c>
      <c r="H659" s="28" t="s">
        <v>841</v>
      </c>
      <c r="J659" s="28" t="s">
        <v>831</v>
      </c>
      <c r="K659" s="28" t="s">
        <v>268</v>
      </c>
      <c r="M659" s="28" t="s">
        <v>160</v>
      </c>
      <c r="N659" s="28" t="s">
        <v>859</v>
      </c>
      <c r="O659" s="28" t="s">
        <v>863</v>
      </c>
      <c r="Q659" s="28" t="s">
        <v>417</v>
      </c>
      <c r="R659" s="28" t="s">
        <v>705</v>
      </c>
      <c r="W659" s="28" t="s">
        <v>363</v>
      </c>
    </row>
    <row r="660" spans="4:23" x14ac:dyDescent="0.25">
      <c r="E660" s="28" t="s">
        <v>160</v>
      </c>
      <c r="H660" s="28" t="s">
        <v>842</v>
      </c>
      <c r="I660" s="28" t="s">
        <v>981</v>
      </c>
      <c r="N660" s="28" t="s">
        <v>858</v>
      </c>
      <c r="O660" s="28" t="s">
        <v>1312</v>
      </c>
      <c r="P660" s="28" t="s">
        <v>250</v>
      </c>
      <c r="R660" s="28" t="s">
        <v>1472</v>
      </c>
    </row>
    <row r="661" spans="4:23" x14ac:dyDescent="0.25">
      <c r="D661" s="28" t="s">
        <v>477</v>
      </c>
      <c r="J661" s="28" t="s">
        <v>832</v>
      </c>
      <c r="K661" s="28" t="s">
        <v>269</v>
      </c>
      <c r="M661" s="28" t="s">
        <v>783</v>
      </c>
      <c r="N661" s="28" t="s">
        <v>858</v>
      </c>
      <c r="O661" s="28" t="s">
        <v>593</v>
      </c>
      <c r="P661" s="28" t="s">
        <v>261</v>
      </c>
      <c r="Q661" s="28" t="s">
        <v>422</v>
      </c>
      <c r="W661" s="28" t="s">
        <v>350</v>
      </c>
    </row>
    <row r="662" spans="4:23" x14ac:dyDescent="0.25">
      <c r="E662" s="28" t="s">
        <v>160</v>
      </c>
      <c r="H662" s="28" t="s">
        <v>843</v>
      </c>
      <c r="I662" s="28" t="s">
        <v>77</v>
      </c>
      <c r="J662" s="28" t="s">
        <v>833</v>
      </c>
      <c r="K662" s="28" t="s">
        <v>270</v>
      </c>
      <c r="O662" s="28" t="s">
        <v>658</v>
      </c>
      <c r="P662" s="28" t="s">
        <v>245</v>
      </c>
      <c r="Q662" s="28" t="s">
        <v>422</v>
      </c>
      <c r="R662" s="28" t="s">
        <v>1372</v>
      </c>
      <c r="W662" s="28" t="s">
        <v>160</v>
      </c>
    </row>
    <row r="663" spans="4:23" x14ac:dyDescent="0.25">
      <c r="D663" s="28" t="s">
        <v>478</v>
      </c>
      <c r="H663" s="28" t="s">
        <v>844</v>
      </c>
      <c r="K663" s="28" t="s">
        <v>268</v>
      </c>
      <c r="M663" s="28" t="s">
        <v>243</v>
      </c>
      <c r="N663" s="28" t="s">
        <v>860</v>
      </c>
      <c r="P663" s="28" t="s">
        <v>263</v>
      </c>
    </row>
    <row r="664" spans="4:23" x14ac:dyDescent="0.25">
      <c r="E664" s="28" t="s">
        <v>212</v>
      </c>
      <c r="I664" s="28" t="s">
        <v>972</v>
      </c>
      <c r="J664" s="28" t="s">
        <v>834</v>
      </c>
      <c r="K664" s="28" t="s">
        <v>267</v>
      </c>
      <c r="N664" s="28" t="s">
        <v>860</v>
      </c>
      <c r="O664" s="28" t="s">
        <v>869</v>
      </c>
      <c r="P664" s="28" t="s">
        <v>254</v>
      </c>
      <c r="Q664" s="28" t="s">
        <v>1406</v>
      </c>
      <c r="R664" s="28" t="s">
        <v>885</v>
      </c>
      <c r="W664" s="28" t="s">
        <v>364</v>
      </c>
    </row>
    <row r="665" spans="4:23" x14ac:dyDescent="0.25">
      <c r="D665" s="28" t="s">
        <v>365</v>
      </c>
      <c r="H665" s="28" t="s">
        <v>845</v>
      </c>
      <c r="J665" s="28" t="s">
        <v>835</v>
      </c>
      <c r="K665" s="28" t="s">
        <v>269</v>
      </c>
      <c r="M665" s="28" t="s">
        <v>82</v>
      </c>
      <c r="N665" s="28" t="s">
        <v>1223</v>
      </c>
      <c r="O665" s="28" t="s">
        <v>869</v>
      </c>
      <c r="P665" s="28" t="s">
        <v>253</v>
      </c>
    </row>
    <row r="666" spans="4:23" x14ac:dyDescent="0.25">
      <c r="E666" s="28" t="s">
        <v>212</v>
      </c>
      <c r="H666" s="28" t="s">
        <v>846</v>
      </c>
      <c r="I666" s="28" t="s">
        <v>905</v>
      </c>
      <c r="K666" s="28" t="s">
        <v>265</v>
      </c>
      <c r="M666" s="28" t="s">
        <v>73</v>
      </c>
      <c r="N666" s="28" t="s">
        <v>500</v>
      </c>
      <c r="O666" s="28" t="s">
        <v>870</v>
      </c>
      <c r="Q666" s="28" t="s">
        <v>1452</v>
      </c>
      <c r="R666" s="28" t="s">
        <v>1373</v>
      </c>
      <c r="W666" s="28" t="s">
        <v>160</v>
      </c>
    </row>
    <row r="667" spans="4:23" x14ac:dyDescent="0.25">
      <c r="I667" s="28" t="s">
        <v>953</v>
      </c>
      <c r="J667" s="28" t="s">
        <v>836</v>
      </c>
      <c r="K667" s="28" t="s">
        <v>254</v>
      </c>
      <c r="M667" s="28" t="s">
        <v>43</v>
      </c>
      <c r="N667" s="28" t="s">
        <v>500</v>
      </c>
      <c r="O667" s="28" t="s">
        <v>869</v>
      </c>
      <c r="P667" s="28" t="s">
        <v>254</v>
      </c>
    </row>
    <row r="668" spans="4:23" x14ac:dyDescent="0.25">
      <c r="E668" s="28" t="s">
        <v>227</v>
      </c>
      <c r="H668" s="28" t="s">
        <v>847</v>
      </c>
      <c r="M668" s="28" t="s">
        <v>784</v>
      </c>
      <c r="N668" s="28" t="s">
        <v>500</v>
      </c>
      <c r="P668" s="28" t="s">
        <v>255</v>
      </c>
      <c r="Q668" s="28" t="s">
        <v>422</v>
      </c>
      <c r="R668" s="28" t="s">
        <v>687</v>
      </c>
      <c r="W668" s="28" t="s">
        <v>365</v>
      </c>
    </row>
    <row r="669" spans="4:23" x14ac:dyDescent="0.25">
      <c r="H669" s="28" t="s">
        <v>848</v>
      </c>
      <c r="I669" s="28" t="s">
        <v>326</v>
      </c>
      <c r="J669" s="28" t="s">
        <v>837</v>
      </c>
      <c r="K669" s="28" t="s">
        <v>271</v>
      </c>
      <c r="M669" s="28" t="s">
        <v>785</v>
      </c>
      <c r="O669" s="28" t="s">
        <v>867</v>
      </c>
      <c r="P669" s="28" t="s">
        <v>248</v>
      </c>
      <c r="Q669" s="28" t="s">
        <v>422</v>
      </c>
      <c r="R669" s="28" t="s">
        <v>1482</v>
      </c>
    </row>
    <row r="670" spans="4:23" x14ac:dyDescent="0.25">
      <c r="E670" s="28" t="s">
        <v>503</v>
      </c>
      <c r="I670" s="28" t="s">
        <v>899</v>
      </c>
      <c r="N670" s="28" t="s">
        <v>861</v>
      </c>
      <c r="O670" s="28" t="s">
        <v>868</v>
      </c>
      <c r="P670" s="28" t="s">
        <v>246</v>
      </c>
    </row>
    <row r="671" spans="4:23" x14ac:dyDescent="0.25">
      <c r="H671" s="28" t="s">
        <v>849</v>
      </c>
      <c r="J671" s="28" t="s">
        <v>838</v>
      </c>
      <c r="K671" s="28" t="s">
        <v>273</v>
      </c>
      <c r="M671" s="28" t="s">
        <v>972</v>
      </c>
      <c r="N671" s="28" t="s">
        <v>499</v>
      </c>
      <c r="O671" s="28" t="s">
        <v>869</v>
      </c>
      <c r="P671" s="28" t="s">
        <v>256</v>
      </c>
      <c r="Q671" s="28" t="s">
        <v>1453</v>
      </c>
      <c r="R671" s="28" t="s">
        <v>1374</v>
      </c>
    </row>
    <row r="672" spans="4:23" x14ac:dyDescent="0.25">
      <c r="E672" s="28" t="s">
        <v>424</v>
      </c>
      <c r="H672" s="28" t="s">
        <v>850</v>
      </c>
      <c r="I672" s="28" t="s">
        <v>82</v>
      </c>
      <c r="K672" s="28" t="s">
        <v>274</v>
      </c>
      <c r="M672" s="28" t="s">
        <v>780</v>
      </c>
      <c r="N672" s="28" t="s">
        <v>499</v>
      </c>
      <c r="O672" s="28" t="s">
        <v>869</v>
      </c>
      <c r="R672" s="28" t="s">
        <v>882</v>
      </c>
    </row>
    <row r="673" spans="5:18" x14ac:dyDescent="0.25">
      <c r="H673" s="28" t="s">
        <v>851</v>
      </c>
      <c r="J673" s="28" t="s">
        <v>839</v>
      </c>
      <c r="K673" s="28" t="s">
        <v>266</v>
      </c>
      <c r="M673" s="28" t="s">
        <v>786</v>
      </c>
      <c r="N673" s="28" t="s">
        <v>497</v>
      </c>
      <c r="O673" s="28" t="s">
        <v>870</v>
      </c>
      <c r="P673" s="28" t="s">
        <v>265</v>
      </c>
      <c r="Q673" s="28" t="s">
        <v>417</v>
      </c>
    </row>
    <row r="674" spans="5:18" x14ac:dyDescent="0.25">
      <c r="E674" s="28" t="s">
        <v>243</v>
      </c>
      <c r="H674" s="28" t="s">
        <v>852</v>
      </c>
      <c r="I674" s="28" t="s">
        <v>906</v>
      </c>
      <c r="J674" s="28" t="s">
        <v>840</v>
      </c>
      <c r="K674" s="28" t="s">
        <v>275</v>
      </c>
      <c r="N674" s="28" t="s">
        <v>862</v>
      </c>
      <c r="O674" s="28" t="s">
        <v>869</v>
      </c>
      <c r="P674" s="28" t="s">
        <v>266</v>
      </c>
      <c r="R674" s="28" t="s">
        <v>1440</v>
      </c>
    </row>
    <row r="675" spans="5:18" x14ac:dyDescent="0.25">
      <c r="E675" s="28" t="s">
        <v>424</v>
      </c>
      <c r="H675" s="28" t="s">
        <v>853</v>
      </c>
      <c r="I675" s="28" t="s">
        <v>907</v>
      </c>
      <c r="M675" s="28" t="s">
        <v>787</v>
      </c>
      <c r="N675" s="28" t="s">
        <v>497</v>
      </c>
      <c r="P675" s="28" t="s">
        <v>267</v>
      </c>
      <c r="Q675" s="28" t="s">
        <v>1398</v>
      </c>
    </row>
    <row r="676" spans="5:18" x14ac:dyDescent="0.25">
      <c r="H676" s="28" t="s">
        <v>854</v>
      </c>
      <c r="J676" s="28" t="s">
        <v>841</v>
      </c>
      <c r="K676" s="28" t="s">
        <v>829</v>
      </c>
      <c r="N676" s="28" t="s">
        <v>497</v>
      </c>
      <c r="O676" s="28" t="s">
        <v>502</v>
      </c>
      <c r="P676" s="28" t="s">
        <v>268</v>
      </c>
      <c r="R676" s="28" t="s">
        <v>205</v>
      </c>
    </row>
    <row r="677" spans="5:18" x14ac:dyDescent="0.25">
      <c r="E677" s="28" t="s">
        <v>419</v>
      </c>
      <c r="H677" s="28" t="s">
        <v>855</v>
      </c>
      <c r="I677" s="28" t="s">
        <v>212</v>
      </c>
      <c r="J677" s="28" t="s">
        <v>842</v>
      </c>
      <c r="M677" s="28" t="s">
        <v>973</v>
      </c>
      <c r="O677" s="28" t="s">
        <v>452</v>
      </c>
      <c r="Q677" s="28" t="s">
        <v>1454</v>
      </c>
    </row>
    <row r="678" spans="5:18" x14ac:dyDescent="0.25">
      <c r="E678" s="28" t="s">
        <v>419</v>
      </c>
      <c r="H678" s="28" t="s">
        <v>856</v>
      </c>
      <c r="K678" s="28" t="s">
        <v>830</v>
      </c>
      <c r="M678" s="28" t="s">
        <v>973</v>
      </c>
      <c r="N678" s="28" t="s">
        <v>863</v>
      </c>
      <c r="O678" s="28" t="s">
        <v>452</v>
      </c>
      <c r="P678" s="28" t="s">
        <v>269</v>
      </c>
      <c r="R678" s="28" t="s">
        <v>160</v>
      </c>
    </row>
    <row r="679" spans="5:18" x14ac:dyDescent="0.25">
      <c r="E679" s="28" t="s">
        <v>160</v>
      </c>
      <c r="I679" s="28" t="s">
        <v>908</v>
      </c>
      <c r="J679" s="28" t="s">
        <v>843</v>
      </c>
      <c r="K679" s="28" t="s">
        <v>831</v>
      </c>
      <c r="M679" s="28" t="s">
        <v>973</v>
      </c>
      <c r="N679" s="28" t="s">
        <v>1224</v>
      </c>
      <c r="O679" s="28" t="s">
        <v>452</v>
      </c>
      <c r="P679" s="28" t="s">
        <v>270</v>
      </c>
      <c r="Q679" s="28" t="s">
        <v>422</v>
      </c>
    </row>
    <row r="680" spans="5:18" x14ac:dyDescent="0.25">
      <c r="H680" s="28" t="s">
        <v>664</v>
      </c>
      <c r="J680" s="28" t="s">
        <v>844</v>
      </c>
      <c r="N680" s="28" t="s">
        <v>1225</v>
      </c>
      <c r="P680" s="28" t="s">
        <v>268</v>
      </c>
      <c r="Q680" s="28" t="s">
        <v>422</v>
      </c>
      <c r="R680" s="28" t="s">
        <v>1375</v>
      </c>
    </row>
    <row r="681" spans="5:18" x14ac:dyDescent="0.25">
      <c r="E681" s="28" t="s">
        <v>422</v>
      </c>
      <c r="H681" s="28" t="s">
        <v>653</v>
      </c>
      <c r="I681" s="28" t="s">
        <v>809</v>
      </c>
      <c r="K681" s="28" t="s">
        <v>832</v>
      </c>
      <c r="M681" s="28" t="s">
        <v>789</v>
      </c>
      <c r="N681" s="28" t="s">
        <v>1226</v>
      </c>
      <c r="O681" s="28" t="s">
        <v>849</v>
      </c>
      <c r="P681" s="28" t="s">
        <v>267</v>
      </c>
      <c r="R681" s="28" t="s">
        <v>1376</v>
      </c>
    </row>
    <row r="682" spans="5:18" x14ac:dyDescent="0.25">
      <c r="E682" s="28" t="s">
        <v>422</v>
      </c>
      <c r="H682" s="28" t="s">
        <v>653</v>
      </c>
      <c r="I682" s="28" t="s">
        <v>810</v>
      </c>
      <c r="J682" s="28" t="s">
        <v>845</v>
      </c>
      <c r="K682" s="28" t="s">
        <v>833</v>
      </c>
      <c r="N682" s="28" t="s">
        <v>593</v>
      </c>
      <c r="O682" s="28" t="s">
        <v>850</v>
      </c>
      <c r="P682" s="28" t="s">
        <v>269</v>
      </c>
      <c r="Q682" s="28" t="s">
        <v>1399</v>
      </c>
    </row>
    <row r="683" spans="5:18" x14ac:dyDescent="0.25">
      <c r="E683" s="28" t="s">
        <v>160</v>
      </c>
      <c r="H683" s="28" t="s">
        <v>653</v>
      </c>
      <c r="I683" s="28" t="s">
        <v>811</v>
      </c>
      <c r="J683" s="28" t="s">
        <v>846</v>
      </c>
      <c r="M683" s="28" t="s">
        <v>777</v>
      </c>
      <c r="N683" s="28" t="s">
        <v>1180</v>
      </c>
      <c r="O683" s="28" t="s">
        <v>1313</v>
      </c>
      <c r="P683" s="28" t="s">
        <v>265</v>
      </c>
      <c r="R683" s="28" t="s">
        <v>689</v>
      </c>
    </row>
    <row r="684" spans="5:18" x14ac:dyDescent="0.25">
      <c r="H684" s="28" t="s">
        <v>657</v>
      </c>
      <c r="I684" s="28" t="s">
        <v>812</v>
      </c>
      <c r="K684" s="28" t="s">
        <v>834</v>
      </c>
      <c r="M684" s="28" t="s">
        <v>777</v>
      </c>
      <c r="O684" s="28" t="s">
        <v>1314</v>
      </c>
      <c r="P684" s="28" t="s">
        <v>254</v>
      </c>
      <c r="Q684" s="28" t="s">
        <v>762</v>
      </c>
    </row>
    <row r="685" spans="5:18" x14ac:dyDescent="0.25">
      <c r="E685" s="28" t="s">
        <v>419</v>
      </c>
      <c r="H685" s="28" t="s">
        <v>653</v>
      </c>
      <c r="I685" s="28" t="s">
        <v>809</v>
      </c>
      <c r="J685" s="28" t="s">
        <v>847</v>
      </c>
      <c r="K685" s="28" t="s">
        <v>835</v>
      </c>
      <c r="M685" s="28" t="s">
        <v>777</v>
      </c>
      <c r="N685" s="28" t="s">
        <v>863</v>
      </c>
      <c r="O685" s="28" t="s">
        <v>1315</v>
      </c>
      <c r="Q685" s="28" t="s">
        <v>1365</v>
      </c>
      <c r="R685" s="28" t="s">
        <v>1485</v>
      </c>
    </row>
    <row r="686" spans="5:18" x14ac:dyDescent="0.25">
      <c r="E686" s="28" t="s">
        <v>420</v>
      </c>
      <c r="I686" s="28" t="s">
        <v>813</v>
      </c>
      <c r="J686" s="28" t="s">
        <v>848</v>
      </c>
      <c r="N686" s="28" t="s">
        <v>1224</v>
      </c>
      <c r="O686" s="28" t="s">
        <v>1316</v>
      </c>
      <c r="P686" s="28" t="s">
        <v>271</v>
      </c>
    </row>
    <row r="687" spans="5:18" x14ac:dyDescent="0.25">
      <c r="E687" s="28" t="s">
        <v>212</v>
      </c>
      <c r="H687" s="28" t="s">
        <v>657</v>
      </c>
      <c r="I687" s="28" t="s">
        <v>811</v>
      </c>
      <c r="K687" s="28" t="s">
        <v>836</v>
      </c>
      <c r="M687" s="28" t="s">
        <v>790</v>
      </c>
      <c r="N687" s="28" t="s">
        <v>1225</v>
      </c>
      <c r="Q687" s="28" t="s">
        <v>1430</v>
      </c>
      <c r="R687" s="28" t="s">
        <v>1485</v>
      </c>
    </row>
    <row r="688" spans="5:18" x14ac:dyDescent="0.25">
      <c r="H688" s="28" t="s">
        <v>669</v>
      </c>
      <c r="I688" s="28" t="s">
        <v>814</v>
      </c>
      <c r="J688" s="28" t="s">
        <v>829</v>
      </c>
      <c r="M688" s="28" t="s">
        <v>791</v>
      </c>
      <c r="N688" s="28" t="s">
        <v>1226</v>
      </c>
      <c r="O688" s="28" t="s">
        <v>1281</v>
      </c>
      <c r="P688" s="28" t="s">
        <v>273</v>
      </c>
    </row>
    <row r="689" spans="5:18" x14ac:dyDescent="0.25">
      <c r="E689" s="28" t="s">
        <v>160</v>
      </c>
      <c r="H689" s="28" t="s">
        <v>667</v>
      </c>
      <c r="I689" s="28" t="s">
        <v>815</v>
      </c>
      <c r="K689" s="28" t="s">
        <v>837</v>
      </c>
      <c r="N689" s="28" t="s">
        <v>593</v>
      </c>
      <c r="O689" s="28" t="s">
        <v>1281</v>
      </c>
      <c r="P689" s="28" t="s">
        <v>274</v>
      </c>
      <c r="Q689" s="28" t="s">
        <v>275</v>
      </c>
      <c r="R689" s="28" t="s">
        <v>1006</v>
      </c>
    </row>
    <row r="690" spans="5:18" x14ac:dyDescent="0.25">
      <c r="E690" s="28" t="s">
        <v>419</v>
      </c>
      <c r="H690" s="28" t="s">
        <v>667</v>
      </c>
      <c r="I690" s="28" t="s">
        <v>809</v>
      </c>
      <c r="J690" s="28" t="s">
        <v>830</v>
      </c>
      <c r="M690" s="28" t="s">
        <v>792</v>
      </c>
      <c r="N690" s="28" t="s">
        <v>1180</v>
      </c>
      <c r="O690" s="28" t="s">
        <v>1283</v>
      </c>
      <c r="P690" s="28" t="s">
        <v>266</v>
      </c>
    </row>
    <row r="691" spans="5:18" x14ac:dyDescent="0.25">
      <c r="E691" s="28" t="s">
        <v>160</v>
      </c>
      <c r="H691" s="28" t="s">
        <v>656</v>
      </c>
      <c r="I691" s="28" t="s">
        <v>816</v>
      </c>
      <c r="J691" s="28" t="s">
        <v>831</v>
      </c>
      <c r="K691" s="28" t="s">
        <v>838</v>
      </c>
      <c r="M691" s="28" t="s">
        <v>792</v>
      </c>
      <c r="O691" s="28" t="s">
        <v>1281</v>
      </c>
      <c r="P691" s="28" t="s">
        <v>275</v>
      </c>
      <c r="Q691" s="28" t="s">
        <v>764</v>
      </c>
      <c r="R691" s="28" t="s">
        <v>1440</v>
      </c>
    </row>
    <row r="692" spans="5:18" x14ac:dyDescent="0.25">
      <c r="H692" s="28" t="s">
        <v>656</v>
      </c>
      <c r="M692" s="28" t="s">
        <v>792</v>
      </c>
      <c r="N692" s="28" t="s">
        <v>867</v>
      </c>
    </row>
    <row r="693" spans="5:18" x14ac:dyDescent="0.25">
      <c r="E693" s="28" t="s">
        <v>243</v>
      </c>
      <c r="I693" s="28" t="s">
        <v>909</v>
      </c>
      <c r="J693" s="28" t="s">
        <v>832</v>
      </c>
      <c r="K693" s="28" t="s">
        <v>839</v>
      </c>
      <c r="N693" s="28" t="s">
        <v>868</v>
      </c>
      <c r="O693" s="28" t="s">
        <v>1282</v>
      </c>
      <c r="P693" s="28" t="s">
        <v>1371</v>
      </c>
      <c r="Q693" s="28" t="s">
        <v>765</v>
      </c>
      <c r="R693" s="28" t="s">
        <v>419</v>
      </c>
    </row>
    <row r="694" spans="5:18" x14ac:dyDescent="0.25">
      <c r="E694" s="28" t="s">
        <v>424</v>
      </c>
      <c r="H694" s="28" t="s">
        <v>857</v>
      </c>
      <c r="I694" s="28" t="s">
        <v>910</v>
      </c>
      <c r="J694" s="28" t="s">
        <v>833</v>
      </c>
      <c r="K694" s="28" t="s">
        <v>840</v>
      </c>
      <c r="M694" s="28" t="s">
        <v>779</v>
      </c>
      <c r="N694" s="28" t="s">
        <v>869</v>
      </c>
      <c r="O694" s="28" t="s">
        <v>1285</v>
      </c>
      <c r="P694" s="28" t="s">
        <v>194</v>
      </c>
      <c r="R694" s="28" t="s">
        <v>243</v>
      </c>
    </row>
    <row r="695" spans="5:18" x14ac:dyDescent="0.25">
      <c r="H695" s="28" t="s">
        <v>858</v>
      </c>
      <c r="M695" s="28" t="s">
        <v>779</v>
      </c>
      <c r="N695" s="28" t="s">
        <v>1227</v>
      </c>
      <c r="O695" s="28" t="s">
        <v>1284</v>
      </c>
      <c r="Q695" s="28" t="s">
        <v>363</v>
      </c>
      <c r="R695" s="28" t="s">
        <v>244</v>
      </c>
    </row>
    <row r="696" spans="5:18" x14ac:dyDescent="0.25">
      <c r="E696" s="28" t="s">
        <v>243</v>
      </c>
      <c r="H696" s="28" t="s">
        <v>859</v>
      </c>
      <c r="I696" s="28" t="s">
        <v>810</v>
      </c>
      <c r="J696" s="28" t="s">
        <v>834</v>
      </c>
      <c r="K696" s="28" t="s">
        <v>841</v>
      </c>
      <c r="M696" s="28" t="s">
        <v>779</v>
      </c>
      <c r="N696" s="28" t="s">
        <v>1228</v>
      </c>
      <c r="O696" s="28" t="s">
        <v>1284</v>
      </c>
      <c r="P696" s="28" t="s">
        <v>190</v>
      </c>
    </row>
    <row r="697" spans="5:18" x14ac:dyDescent="0.25">
      <c r="E697" s="28" t="s">
        <v>424</v>
      </c>
      <c r="H697" s="28" t="s">
        <v>858</v>
      </c>
      <c r="J697" s="28" t="s">
        <v>835</v>
      </c>
      <c r="K697" s="28" t="s">
        <v>842</v>
      </c>
      <c r="N697" s="28" t="s">
        <v>869</v>
      </c>
      <c r="Q697" s="28" t="s">
        <v>82</v>
      </c>
      <c r="R697" s="28" t="s">
        <v>1510</v>
      </c>
    </row>
    <row r="698" spans="5:18" x14ac:dyDescent="0.25">
      <c r="H698" s="28" t="s">
        <v>858</v>
      </c>
      <c r="I698" s="28" t="s">
        <v>811</v>
      </c>
      <c r="M698" s="28" t="s">
        <v>793</v>
      </c>
      <c r="N698" s="28" t="s">
        <v>870</v>
      </c>
      <c r="O698" s="28" t="s">
        <v>858</v>
      </c>
      <c r="P698" s="28" t="s">
        <v>1372</v>
      </c>
    </row>
    <row r="699" spans="5:18" x14ac:dyDescent="0.25">
      <c r="E699" s="28" t="s">
        <v>419</v>
      </c>
      <c r="H699" s="28" t="s">
        <v>858</v>
      </c>
      <c r="I699" s="28" t="s">
        <v>820</v>
      </c>
      <c r="J699" s="28" t="s">
        <v>836</v>
      </c>
      <c r="K699" s="28" t="s">
        <v>845</v>
      </c>
      <c r="M699" s="28" t="s">
        <v>794</v>
      </c>
      <c r="N699" s="28" t="s">
        <v>870</v>
      </c>
      <c r="O699" s="28" t="s">
        <v>858</v>
      </c>
      <c r="Q699" s="28" t="s">
        <v>766</v>
      </c>
      <c r="R699" s="28" t="s">
        <v>419</v>
      </c>
    </row>
    <row r="700" spans="5:18" x14ac:dyDescent="0.25">
      <c r="E700" s="28" t="s">
        <v>420</v>
      </c>
      <c r="I700" s="28" t="s">
        <v>821</v>
      </c>
      <c r="K700" s="28" t="s">
        <v>846</v>
      </c>
      <c r="O700" s="28" t="s">
        <v>858</v>
      </c>
      <c r="P700" s="28" t="s">
        <v>885</v>
      </c>
    </row>
    <row r="701" spans="5:18" x14ac:dyDescent="0.25">
      <c r="E701" s="28" t="s">
        <v>212</v>
      </c>
      <c r="H701" s="28" t="s">
        <v>860</v>
      </c>
      <c r="J701" s="28" t="s">
        <v>837</v>
      </c>
      <c r="M701" s="28" t="s">
        <v>795</v>
      </c>
      <c r="N701" s="28" t="s">
        <v>869</v>
      </c>
      <c r="O701" s="28" t="s">
        <v>858</v>
      </c>
      <c r="Q701" s="28" t="s">
        <v>767</v>
      </c>
      <c r="R701" s="28" t="s">
        <v>245</v>
      </c>
    </row>
    <row r="702" spans="5:18" x14ac:dyDescent="0.25">
      <c r="H702" s="28" t="s">
        <v>500</v>
      </c>
      <c r="I702" s="28" t="s">
        <v>811</v>
      </c>
      <c r="K702" s="28" t="s">
        <v>847</v>
      </c>
      <c r="M702" s="28" t="s">
        <v>796</v>
      </c>
      <c r="N702" s="28" t="s">
        <v>1227</v>
      </c>
      <c r="P702" s="28" t="s">
        <v>687</v>
      </c>
      <c r="R702" s="28" t="s">
        <v>246</v>
      </c>
    </row>
    <row r="703" spans="5:18" x14ac:dyDescent="0.25">
      <c r="E703" s="28" t="s">
        <v>243</v>
      </c>
      <c r="H703" s="28" t="s">
        <v>500</v>
      </c>
      <c r="I703" s="28" t="s">
        <v>822</v>
      </c>
      <c r="J703" s="28" t="s">
        <v>838</v>
      </c>
      <c r="K703" s="28" t="s">
        <v>848</v>
      </c>
      <c r="N703" s="28" t="s">
        <v>1228</v>
      </c>
      <c r="O703" s="28" t="s">
        <v>500</v>
      </c>
      <c r="Q703" s="28" t="s">
        <v>768</v>
      </c>
      <c r="R703" s="28" t="s">
        <v>247</v>
      </c>
    </row>
    <row r="704" spans="5:18" x14ac:dyDescent="0.25">
      <c r="E704" s="28" t="s">
        <v>424</v>
      </c>
      <c r="H704" s="28" t="s">
        <v>500</v>
      </c>
      <c r="I704" s="28" t="s">
        <v>811</v>
      </c>
      <c r="M704" s="28" t="s">
        <v>341</v>
      </c>
      <c r="N704" s="28" t="s">
        <v>869</v>
      </c>
      <c r="O704" s="28" t="s">
        <v>500</v>
      </c>
      <c r="P704" s="28" t="s">
        <v>1373</v>
      </c>
      <c r="R704" s="28" t="s">
        <v>248</v>
      </c>
    </row>
    <row r="705" spans="5:18" x14ac:dyDescent="0.25">
      <c r="H705" s="28" t="s">
        <v>500</v>
      </c>
      <c r="J705" s="28" t="s">
        <v>839</v>
      </c>
      <c r="K705" s="28" t="s">
        <v>829</v>
      </c>
      <c r="M705" s="28" t="s">
        <v>797</v>
      </c>
      <c r="N705" s="28" t="s">
        <v>870</v>
      </c>
      <c r="O705" s="28" t="s">
        <v>500</v>
      </c>
      <c r="Q705" s="28" t="s">
        <v>674</v>
      </c>
      <c r="R705" s="28" t="s">
        <v>245</v>
      </c>
    </row>
    <row r="706" spans="5:18" x14ac:dyDescent="0.25">
      <c r="E706" s="28" t="s">
        <v>229</v>
      </c>
      <c r="H706" s="28" t="s">
        <v>500</v>
      </c>
      <c r="I706" s="28" t="s">
        <v>911</v>
      </c>
      <c r="J706" s="28" t="s">
        <v>840</v>
      </c>
      <c r="M706" s="28" t="s">
        <v>798</v>
      </c>
      <c r="N706" s="28" t="s">
        <v>870</v>
      </c>
      <c r="O706" s="28" t="s">
        <v>500</v>
      </c>
      <c r="P706" s="28" t="s">
        <v>1345</v>
      </c>
      <c r="R706" s="28" t="s">
        <v>249</v>
      </c>
    </row>
    <row r="707" spans="5:18" x14ac:dyDescent="0.25">
      <c r="K707" s="28" t="s">
        <v>830</v>
      </c>
      <c r="M707" s="28" t="s">
        <v>799</v>
      </c>
      <c r="Q707" s="28" t="s">
        <v>769</v>
      </c>
      <c r="R707" s="28" t="s">
        <v>247</v>
      </c>
    </row>
    <row r="708" spans="5:18" x14ac:dyDescent="0.25">
      <c r="E708" s="28" t="s">
        <v>506</v>
      </c>
      <c r="H708" s="28" t="s">
        <v>861</v>
      </c>
      <c r="I708" s="28" t="s">
        <v>823</v>
      </c>
      <c r="J708" s="28" t="s">
        <v>841</v>
      </c>
      <c r="K708" s="28" t="s">
        <v>831</v>
      </c>
      <c r="N708" s="28" t="s">
        <v>502</v>
      </c>
      <c r="O708" s="28" t="s">
        <v>845</v>
      </c>
      <c r="P708" s="28" t="s">
        <v>1350</v>
      </c>
      <c r="R708" s="28" t="s">
        <v>250</v>
      </c>
    </row>
    <row r="709" spans="5:18" x14ac:dyDescent="0.25">
      <c r="H709" s="28" t="s">
        <v>499</v>
      </c>
      <c r="I709" s="28" t="s">
        <v>809</v>
      </c>
      <c r="J709" s="28" t="s">
        <v>842</v>
      </c>
      <c r="M709" s="28" t="s">
        <v>82</v>
      </c>
      <c r="N709" s="28" t="s">
        <v>502</v>
      </c>
      <c r="O709" s="28" t="s">
        <v>846</v>
      </c>
      <c r="Q709" s="28" t="s">
        <v>770</v>
      </c>
      <c r="R709" s="28" t="s">
        <v>251</v>
      </c>
    </row>
    <row r="710" spans="5:18" x14ac:dyDescent="0.25">
      <c r="E710" s="28" t="s">
        <v>424</v>
      </c>
      <c r="H710" s="28" t="s">
        <v>497</v>
      </c>
      <c r="I710" s="28" t="s">
        <v>826</v>
      </c>
      <c r="K710" s="28" t="s">
        <v>832</v>
      </c>
      <c r="M710" s="28" t="s">
        <v>73</v>
      </c>
      <c r="N710" s="28" t="s">
        <v>423</v>
      </c>
      <c r="P710" s="28" t="s">
        <v>1374</v>
      </c>
      <c r="R710" s="28" t="s">
        <v>245</v>
      </c>
    </row>
    <row r="711" spans="5:18" x14ac:dyDescent="0.25">
      <c r="H711" s="28" t="s">
        <v>862</v>
      </c>
      <c r="J711" s="28" t="s">
        <v>849</v>
      </c>
      <c r="K711" s="28" t="s">
        <v>833</v>
      </c>
      <c r="M711" s="28" t="s">
        <v>43</v>
      </c>
      <c r="N711" s="28" t="s">
        <v>452</v>
      </c>
      <c r="O711" s="28" t="s">
        <v>847</v>
      </c>
      <c r="P711" s="28" t="s">
        <v>882</v>
      </c>
      <c r="Q711" s="28" t="s">
        <v>1455</v>
      </c>
      <c r="R711" s="28" t="s">
        <v>252</v>
      </c>
    </row>
    <row r="712" spans="5:18" x14ac:dyDescent="0.25">
      <c r="E712" s="28" t="s">
        <v>231</v>
      </c>
      <c r="H712" s="28" t="s">
        <v>497</v>
      </c>
      <c r="I712" s="28" t="s">
        <v>827</v>
      </c>
      <c r="J712" s="28" t="s">
        <v>850</v>
      </c>
      <c r="N712" s="28" t="s">
        <v>452</v>
      </c>
      <c r="O712" s="28" t="s">
        <v>848</v>
      </c>
    </row>
    <row r="713" spans="5:18" x14ac:dyDescent="0.25">
      <c r="H713" s="28" t="s">
        <v>497</v>
      </c>
      <c r="I713" s="28" t="s">
        <v>823</v>
      </c>
      <c r="J713" s="28" t="s">
        <v>1020</v>
      </c>
      <c r="K713" s="28" t="s">
        <v>834</v>
      </c>
      <c r="M713" s="28" t="s">
        <v>972</v>
      </c>
      <c r="N713" s="28" t="s">
        <v>452</v>
      </c>
      <c r="P713" s="28" t="s">
        <v>205</v>
      </c>
      <c r="Q713" s="28" t="s">
        <v>772</v>
      </c>
      <c r="R713" s="28" t="s">
        <v>253</v>
      </c>
    </row>
    <row r="714" spans="5:18" x14ac:dyDescent="0.25">
      <c r="E714" s="28" t="s">
        <v>510</v>
      </c>
      <c r="H714" s="28" t="s">
        <v>497</v>
      </c>
      <c r="I714" s="28" t="s">
        <v>809</v>
      </c>
      <c r="J714" s="28" t="s">
        <v>1021</v>
      </c>
      <c r="K714" s="28" t="s">
        <v>835</v>
      </c>
      <c r="M714" s="28" t="s">
        <v>780</v>
      </c>
      <c r="O714" s="28" t="s">
        <v>861</v>
      </c>
      <c r="Q714" s="28" t="s">
        <v>773</v>
      </c>
    </row>
    <row r="715" spans="5:18" x14ac:dyDescent="0.25">
      <c r="J715" s="28" t="s">
        <v>1022</v>
      </c>
      <c r="M715" s="28" t="s">
        <v>786</v>
      </c>
      <c r="N715" s="28" t="s">
        <v>849</v>
      </c>
      <c r="O715" s="28" t="s">
        <v>497</v>
      </c>
      <c r="P715" s="28" t="s">
        <v>160</v>
      </c>
      <c r="Q715" s="28" t="s">
        <v>774</v>
      </c>
      <c r="R715" s="28" t="s">
        <v>254</v>
      </c>
    </row>
    <row r="716" spans="5:18" x14ac:dyDescent="0.25">
      <c r="E716" s="28" t="s">
        <v>424</v>
      </c>
      <c r="H716" s="28" t="s">
        <v>863</v>
      </c>
      <c r="I716" s="28" t="s">
        <v>912</v>
      </c>
      <c r="J716" s="28" t="s">
        <v>1023</v>
      </c>
      <c r="K716" s="28" t="s">
        <v>836</v>
      </c>
      <c r="M716" s="28" t="s">
        <v>800</v>
      </c>
      <c r="N716" s="28" t="s">
        <v>850</v>
      </c>
      <c r="O716" s="28" t="s">
        <v>497</v>
      </c>
      <c r="Q716" s="28" t="s">
        <v>775</v>
      </c>
      <c r="R716" s="28" t="s">
        <v>255</v>
      </c>
    </row>
    <row r="717" spans="5:18" x14ac:dyDescent="0.25">
      <c r="H717" s="28" t="s">
        <v>864</v>
      </c>
      <c r="J717" s="28" t="s">
        <v>1024</v>
      </c>
      <c r="M717" s="28" t="s">
        <v>773</v>
      </c>
      <c r="N717" s="28" t="s">
        <v>1229</v>
      </c>
      <c r="O717" s="28" t="s">
        <v>497</v>
      </c>
      <c r="P717" s="28" t="s">
        <v>1375</v>
      </c>
      <c r="R717" s="28" t="s">
        <v>248</v>
      </c>
    </row>
    <row r="718" spans="5:18" x14ac:dyDescent="0.25">
      <c r="E718" s="28" t="s">
        <v>233</v>
      </c>
      <c r="H718" s="28" t="s">
        <v>865</v>
      </c>
      <c r="I718" s="28" t="s">
        <v>810</v>
      </c>
      <c r="K718" s="28" t="s">
        <v>837</v>
      </c>
      <c r="M718" s="28" t="s">
        <v>972</v>
      </c>
      <c r="N718" s="28" t="s">
        <v>1230</v>
      </c>
      <c r="O718" s="28" t="s">
        <v>497</v>
      </c>
      <c r="P718" s="28" t="s">
        <v>1376</v>
      </c>
      <c r="Q718" s="28" t="s">
        <v>776</v>
      </c>
      <c r="R718" s="28" t="s">
        <v>246</v>
      </c>
    </row>
    <row r="719" spans="5:18" x14ac:dyDescent="0.25">
      <c r="H719" s="28" t="s">
        <v>866</v>
      </c>
      <c r="I719" s="28" t="s">
        <v>818</v>
      </c>
      <c r="J719" s="28" t="s">
        <v>991</v>
      </c>
      <c r="M719" s="28" t="s">
        <v>801</v>
      </c>
      <c r="N719" s="28" t="s">
        <v>1231</v>
      </c>
      <c r="Q719" s="28" t="s">
        <v>777</v>
      </c>
      <c r="R719" s="28" t="s">
        <v>256</v>
      </c>
    </row>
    <row r="720" spans="5:18" x14ac:dyDescent="0.25">
      <c r="E720" s="28" t="s">
        <v>513</v>
      </c>
      <c r="H720" s="28" t="s">
        <v>593</v>
      </c>
      <c r="J720" s="28" t="s">
        <v>988</v>
      </c>
      <c r="K720" s="28" t="s">
        <v>838</v>
      </c>
      <c r="M720" s="28" t="s">
        <v>774</v>
      </c>
      <c r="N720" s="28" t="s">
        <v>1232</v>
      </c>
      <c r="O720" s="28" t="s">
        <v>722</v>
      </c>
      <c r="P720" s="28" t="s">
        <v>689</v>
      </c>
      <c r="Q720" s="28" t="s">
        <v>778</v>
      </c>
    </row>
    <row r="721" spans="5:18" x14ac:dyDescent="0.25">
      <c r="H721" s="28" t="s">
        <v>864</v>
      </c>
      <c r="I721" s="28" t="s">
        <v>265</v>
      </c>
      <c r="J721" s="28" t="s">
        <v>988</v>
      </c>
      <c r="M721" s="28" t="s">
        <v>802</v>
      </c>
      <c r="N721" s="28" t="s">
        <v>1233</v>
      </c>
      <c r="O721" s="28" t="s">
        <v>1317</v>
      </c>
      <c r="Q721" s="28" t="s">
        <v>779</v>
      </c>
      <c r="R721" s="28" t="s">
        <v>254</v>
      </c>
    </row>
    <row r="722" spans="5:18" x14ac:dyDescent="0.25">
      <c r="E722" s="28" t="s">
        <v>424</v>
      </c>
      <c r="I722" s="28" t="s">
        <v>266</v>
      </c>
      <c r="J722" s="28" t="s">
        <v>988</v>
      </c>
      <c r="K722" s="28" t="s">
        <v>839</v>
      </c>
      <c r="M722" s="28" t="s">
        <v>775</v>
      </c>
      <c r="N722" s="28" t="s">
        <v>1234</v>
      </c>
      <c r="O722" s="28" t="s">
        <v>1318</v>
      </c>
      <c r="P722" s="28" t="s">
        <v>1347</v>
      </c>
      <c r="R722" s="28" t="s">
        <v>255</v>
      </c>
    </row>
    <row r="723" spans="5:18" x14ac:dyDescent="0.25">
      <c r="H723" s="28" t="s">
        <v>419</v>
      </c>
      <c r="I723" s="28" t="s">
        <v>267</v>
      </c>
      <c r="J723" s="28" t="s">
        <v>987</v>
      </c>
      <c r="K723" s="28" t="s">
        <v>840</v>
      </c>
      <c r="O723" s="28" t="s">
        <v>722</v>
      </c>
      <c r="Q723" s="28" t="s">
        <v>786</v>
      </c>
    </row>
    <row r="724" spans="5:18" x14ac:dyDescent="0.25">
      <c r="E724" s="28" t="s">
        <v>235</v>
      </c>
      <c r="H724" s="28" t="s">
        <v>419</v>
      </c>
      <c r="I724" s="28" t="s">
        <v>268</v>
      </c>
      <c r="M724" s="28" t="s">
        <v>778</v>
      </c>
      <c r="N724" s="28" t="s">
        <v>1173</v>
      </c>
      <c r="P724" s="28" t="s">
        <v>1347</v>
      </c>
      <c r="R724" s="28" t="s">
        <v>257</v>
      </c>
    </row>
    <row r="725" spans="5:18" x14ac:dyDescent="0.25">
      <c r="H725" s="28" t="s">
        <v>419</v>
      </c>
      <c r="J725" s="28" t="s">
        <v>987</v>
      </c>
      <c r="K725" s="28" t="s">
        <v>841</v>
      </c>
      <c r="N725" s="28" t="s">
        <v>1169</v>
      </c>
      <c r="O725" s="28" t="s">
        <v>722</v>
      </c>
      <c r="Q725" s="28" t="s">
        <v>786</v>
      </c>
      <c r="R725" s="28" t="s">
        <v>247</v>
      </c>
    </row>
    <row r="726" spans="5:18" x14ac:dyDescent="0.25">
      <c r="E726" s="28" t="s">
        <v>517</v>
      </c>
      <c r="H726" s="28" t="s">
        <v>419</v>
      </c>
      <c r="I726" s="28" t="s">
        <v>269</v>
      </c>
      <c r="J726" s="28" t="s">
        <v>994</v>
      </c>
      <c r="K726" s="28" t="s">
        <v>842</v>
      </c>
      <c r="M726" s="28" t="s">
        <v>777</v>
      </c>
      <c r="N726" s="28" t="s">
        <v>1169</v>
      </c>
      <c r="O726" s="28" t="s">
        <v>1317</v>
      </c>
      <c r="P726" s="28" t="s">
        <v>1377</v>
      </c>
      <c r="R726" s="28" t="s">
        <v>258</v>
      </c>
    </row>
    <row r="727" spans="5:18" x14ac:dyDescent="0.25">
      <c r="H727" s="28" t="s">
        <v>419</v>
      </c>
      <c r="I727" s="28" t="s">
        <v>270</v>
      </c>
      <c r="J727" s="28" t="s">
        <v>991</v>
      </c>
      <c r="N727" s="28" t="s">
        <v>1169</v>
      </c>
      <c r="O727" s="28" t="s">
        <v>1318</v>
      </c>
      <c r="P727" s="28" t="s">
        <v>705</v>
      </c>
      <c r="Q727" s="28" t="s">
        <v>786</v>
      </c>
      <c r="R727" s="28" t="s">
        <v>259</v>
      </c>
    </row>
    <row r="728" spans="5:18" x14ac:dyDescent="0.25">
      <c r="E728" s="28" t="s">
        <v>424</v>
      </c>
      <c r="H728" s="28" t="s">
        <v>419</v>
      </c>
      <c r="I728" s="28" t="s">
        <v>268</v>
      </c>
      <c r="J728" s="28" t="s">
        <v>991</v>
      </c>
      <c r="K728" s="28" t="s">
        <v>845</v>
      </c>
      <c r="M728" s="28" t="s">
        <v>779</v>
      </c>
      <c r="N728" s="28" t="s">
        <v>1171</v>
      </c>
      <c r="O728" s="28" t="s">
        <v>722</v>
      </c>
      <c r="P728" s="28" t="s">
        <v>1343</v>
      </c>
    </row>
    <row r="729" spans="5:18" x14ac:dyDescent="0.25">
      <c r="I729" s="28" t="s">
        <v>267</v>
      </c>
      <c r="J729" s="28" t="s">
        <v>984</v>
      </c>
      <c r="K729" s="28" t="s">
        <v>846</v>
      </c>
      <c r="N729" s="28" t="s">
        <v>1169</v>
      </c>
      <c r="Q729" s="28" t="s">
        <v>781</v>
      </c>
      <c r="R729" s="28" t="s">
        <v>247</v>
      </c>
    </row>
    <row r="730" spans="5:18" x14ac:dyDescent="0.25">
      <c r="E730" s="28" t="s">
        <v>237</v>
      </c>
      <c r="H730" s="28" t="s">
        <v>867</v>
      </c>
      <c r="I730" s="28" t="s">
        <v>269</v>
      </c>
      <c r="M730" s="28" t="s">
        <v>972</v>
      </c>
      <c r="O730" s="28" t="s">
        <v>843</v>
      </c>
      <c r="P730" s="28" t="s">
        <v>1379</v>
      </c>
      <c r="R730" s="28" t="s">
        <v>260</v>
      </c>
    </row>
    <row r="731" spans="5:18" x14ac:dyDescent="0.25">
      <c r="H731" s="28" t="s">
        <v>868</v>
      </c>
      <c r="I731" s="28" t="s">
        <v>265</v>
      </c>
      <c r="J731" s="28" t="s">
        <v>857</v>
      </c>
      <c r="K731" s="28" t="s">
        <v>847</v>
      </c>
      <c r="N731" s="28" t="s">
        <v>1172</v>
      </c>
      <c r="O731" s="28" t="s">
        <v>844</v>
      </c>
      <c r="P731" s="28" t="s">
        <v>1380</v>
      </c>
      <c r="Q731" s="28" t="s">
        <v>782</v>
      </c>
      <c r="R731" s="28" t="s">
        <v>247</v>
      </c>
    </row>
    <row r="732" spans="5:18" x14ac:dyDescent="0.25">
      <c r="E732" s="28" t="s">
        <v>520</v>
      </c>
      <c r="H732" s="28" t="s">
        <v>716</v>
      </c>
      <c r="I732" s="28" t="s">
        <v>254</v>
      </c>
      <c r="J732" s="28" t="s">
        <v>858</v>
      </c>
      <c r="K732" s="28" t="s">
        <v>848</v>
      </c>
      <c r="M732" s="28" t="s">
        <v>972</v>
      </c>
      <c r="N732" s="28" t="s">
        <v>1172</v>
      </c>
      <c r="O732" s="28" t="s">
        <v>870</v>
      </c>
      <c r="R732" s="28" t="s">
        <v>261</v>
      </c>
    </row>
    <row r="733" spans="5:18" x14ac:dyDescent="0.25">
      <c r="H733" s="28" t="s">
        <v>716</v>
      </c>
      <c r="J733" s="28" t="s">
        <v>858</v>
      </c>
      <c r="N733" s="28" t="s">
        <v>1174</v>
      </c>
      <c r="O733" s="28" t="s">
        <v>869</v>
      </c>
      <c r="P733" s="28" t="s">
        <v>954</v>
      </c>
      <c r="Q733" s="28" t="s">
        <v>160</v>
      </c>
      <c r="R733" s="28" t="s">
        <v>254</v>
      </c>
    </row>
    <row r="734" spans="5:18" x14ac:dyDescent="0.25">
      <c r="E734" s="28" t="s">
        <v>424</v>
      </c>
      <c r="H734" s="28" t="s">
        <v>716</v>
      </c>
      <c r="I734" s="28" t="s">
        <v>271</v>
      </c>
      <c r="J734" s="28" t="s">
        <v>859</v>
      </c>
      <c r="K734" s="28" t="s">
        <v>849</v>
      </c>
      <c r="M734" s="28" t="s">
        <v>1158</v>
      </c>
      <c r="N734" s="28" t="s">
        <v>1175</v>
      </c>
      <c r="O734" s="28" t="s">
        <v>870</v>
      </c>
    </row>
    <row r="735" spans="5:18" x14ac:dyDescent="0.25">
      <c r="H735" s="28" t="s">
        <v>716</v>
      </c>
      <c r="J735" s="28" t="s">
        <v>858</v>
      </c>
      <c r="K735" s="28" t="s">
        <v>850</v>
      </c>
      <c r="N735" s="28" t="s">
        <v>1170</v>
      </c>
      <c r="O735" s="28" t="s">
        <v>870</v>
      </c>
      <c r="P735" s="28" t="s">
        <v>1379</v>
      </c>
      <c r="Q735" s="28" t="s">
        <v>783</v>
      </c>
      <c r="R735" s="28" t="s">
        <v>262</v>
      </c>
    </row>
    <row r="736" spans="5:18" x14ac:dyDescent="0.25">
      <c r="E736" s="28" t="s">
        <v>557</v>
      </c>
      <c r="H736" s="28" t="s">
        <v>716</v>
      </c>
      <c r="I736" s="28" t="s">
        <v>273</v>
      </c>
      <c r="K736" s="28" t="s">
        <v>1090</v>
      </c>
      <c r="M736" s="28" t="s">
        <v>803</v>
      </c>
      <c r="N736" s="28" t="s">
        <v>1170</v>
      </c>
      <c r="P736" s="28" t="s">
        <v>1380</v>
      </c>
    </row>
    <row r="737" spans="5:18" x14ac:dyDescent="0.25">
      <c r="H737" s="28" t="s">
        <v>716</v>
      </c>
      <c r="I737" s="28" t="s">
        <v>274</v>
      </c>
      <c r="J737" s="28" t="s">
        <v>860</v>
      </c>
      <c r="K737" s="28" t="s">
        <v>1091</v>
      </c>
      <c r="M737" s="28" t="s">
        <v>346</v>
      </c>
      <c r="O737" s="28" t="s">
        <v>867</v>
      </c>
      <c r="Q737" s="28" t="s">
        <v>545</v>
      </c>
      <c r="R737" s="28" t="s">
        <v>254</v>
      </c>
    </row>
    <row r="738" spans="5:18" x14ac:dyDescent="0.25">
      <c r="E738" s="28" t="s">
        <v>552</v>
      </c>
      <c r="I738" s="28" t="s">
        <v>266</v>
      </c>
      <c r="J738" s="28" t="s">
        <v>500</v>
      </c>
      <c r="K738" s="28" t="s">
        <v>1092</v>
      </c>
      <c r="N738" s="28" t="s">
        <v>1221</v>
      </c>
      <c r="O738" s="28" t="s">
        <v>868</v>
      </c>
      <c r="P738" s="28" t="s">
        <v>1387</v>
      </c>
      <c r="R738" s="28" t="s">
        <v>255</v>
      </c>
    </row>
    <row r="739" spans="5:18" x14ac:dyDescent="0.25">
      <c r="H739" s="28" t="s">
        <v>869</v>
      </c>
      <c r="I739" s="28" t="s">
        <v>275</v>
      </c>
      <c r="J739" s="28" t="s">
        <v>500</v>
      </c>
      <c r="K739" s="28" t="s">
        <v>1093</v>
      </c>
      <c r="M739" s="28" t="s">
        <v>77</v>
      </c>
      <c r="N739" s="28" t="s">
        <v>1222</v>
      </c>
      <c r="O739" s="28" t="s">
        <v>870</v>
      </c>
      <c r="Q739" s="28" t="s">
        <v>1396</v>
      </c>
      <c r="R739" s="28" t="s">
        <v>263</v>
      </c>
    </row>
    <row r="740" spans="5:18" x14ac:dyDescent="0.25">
      <c r="E740" s="28" t="s">
        <v>557</v>
      </c>
      <c r="H740" s="28" t="s">
        <v>870</v>
      </c>
      <c r="J740" s="28" t="s">
        <v>500</v>
      </c>
      <c r="K740" s="28" t="s">
        <v>1094</v>
      </c>
      <c r="N740" s="28" t="s">
        <v>858</v>
      </c>
      <c r="O740" s="28" t="s">
        <v>869</v>
      </c>
      <c r="P740" s="28" t="s">
        <v>563</v>
      </c>
      <c r="R740" s="28" t="s">
        <v>261</v>
      </c>
    </row>
    <row r="741" spans="5:18" x14ac:dyDescent="0.25">
      <c r="H741" s="28" t="s">
        <v>869</v>
      </c>
      <c r="I741" s="28" t="s">
        <v>365</v>
      </c>
      <c r="J741" s="28" t="s">
        <v>500</v>
      </c>
      <c r="K741" s="28" t="s">
        <v>1095</v>
      </c>
      <c r="M741" s="28" t="s">
        <v>804</v>
      </c>
      <c r="N741" s="28" t="s">
        <v>858</v>
      </c>
      <c r="O741" s="28" t="s">
        <v>870</v>
      </c>
      <c r="Q741" s="28" t="s">
        <v>1392</v>
      </c>
      <c r="R741" s="28" t="s">
        <v>245</v>
      </c>
    </row>
    <row r="742" spans="5:18" x14ac:dyDescent="0.25">
      <c r="E742" s="28" t="s">
        <v>557</v>
      </c>
      <c r="H742" s="28" t="s">
        <v>869</v>
      </c>
      <c r="N742" s="28" t="s">
        <v>858</v>
      </c>
      <c r="O742" s="28" t="s">
        <v>870</v>
      </c>
      <c r="P742" s="28" t="s">
        <v>1388</v>
      </c>
      <c r="R742" s="28" t="s">
        <v>264</v>
      </c>
    </row>
    <row r="743" spans="5:18" x14ac:dyDescent="0.25">
      <c r="H743" s="28" t="s">
        <v>870</v>
      </c>
      <c r="J743" s="28" t="s">
        <v>861</v>
      </c>
      <c r="K743" s="28" t="s">
        <v>1056</v>
      </c>
      <c r="M743" s="28" t="s">
        <v>805</v>
      </c>
      <c r="N743" s="28" t="s">
        <v>859</v>
      </c>
      <c r="Q743" s="28" t="s">
        <v>622</v>
      </c>
    </row>
    <row r="744" spans="5:18" x14ac:dyDescent="0.25">
      <c r="E744" s="28" t="s">
        <v>552</v>
      </c>
      <c r="H744" s="28" t="s">
        <v>870</v>
      </c>
      <c r="J744" s="28" t="s">
        <v>499</v>
      </c>
      <c r="K744" s="28" t="s">
        <v>1056</v>
      </c>
      <c r="O744" s="28" t="s">
        <v>452</v>
      </c>
      <c r="P744" s="28" t="s">
        <v>1389</v>
      </c>
      <c r="Q744" s="28" t="s">
        <v>1333</v>
      </c>
      <c r="R744" s="28" t="s">
        <v>255</v>
      </c>
    </row>
    <row r="745" spans="5:18" x14ac:dyDescent="0.25">
      <c r="J745" s="28" t="s">
        <v>497</v>
      </c>
      <c r="K745" s="28" t="s">
        <v>1056</v>
      </c>
      <c r="M745" s="28" t="s">
        <v>363</v>
      </c>
      <c r="N745" s="28" t="s">
        <v>860</v>
      </c>
      <c r="O745" s="28" t="s">
        <v>452</v>
      </c>
      <c r="Q745" s="28" t="s">
        <v>624</v>
      </c>
    </row>
    <row r="746" spans="5:18" x14ac:dyDescent="0.25">
      <c r="E746" s="28" t="s">
        <v>557</v>
      </c>
      <c r="H746" s="28" t="s">
        <v>502</v>
      </c>
      <c r="J746" s="28" t="s">
        <v>497</v>
      </c>
      <c r="K746" s="28" t="s">
        <v>1056</v>
      </c>
      <c r="N746" s="28" t="s">
        <v>1223</v>
      </c>
      <c r="O746" s="28" t="s">
        <v>452</v>
      </c>
      <c r="P746" s="28" t="s">
        <v>1390</v>
      </c>
      <c r="Q746" s="28" t="s">
        <v>625</v>
      </c>
      <c r="R746" s="28" t="s">
        <v>250</v>
      </c>
    </row>
    <row r="747" spans="5:18" x14ac:dyDescent="0.25">
      <c r="H747" s="28" t="s">
        <v>452</v>
      </c>
      <c r="J747" s="28" t="s">
        <v>862</v>
      </c>
      <c r="K747" s="28" t="s">
        <v>1064</v>
      </c>
      <c r="M747" s="28" t="s">
        <v>160</v>
      </c>
      <c r="N747" s="28" t="s">
        <v>500</v>
      </c>
      <c r="O747" s="28" t="s">
        <v>452</v>
      </c>
      <c r="Q747" s="28" t="s">
        <v>626</v>
      </c>
      <c r="R747" s="28" t="s">
        <v>261</v>
      </c>
    </row>
    <row r="748" spans="5:18" x14ac:dyDescent="0.25">
      <c r="E748" s="28" t="s">
        <v>557</v>
      </c>
      <c r="H748" s="28" t="s">
        <v>452</v>
      </c>
      <c r="J748" s="28" t="s">
        <v>497</v>
      </c>
      <c r="K748" s="28" t="s">
        <v>1065</v>
      </c>
      <c r="N748" s="28" t="s">
        <v>500</v>
      </c>
      <c r="P748" s="28" t="s">
        <v>1350</v>
      </c>
      <c r="Q748" s="28" t="s">
        <v>627</v>
      </c>
      <c r="R748" s="28" t="s">
        <v>245</v>
      </c>
    </row>
    <row r="749" spans="5:18" x14ac:dyDescent="0.25">
      <c r="H749" s="28" t="s">
        <v>452</v>
      </c>
      <c r="M749" s="28" t="s">
        <v>243</v>
      </c>
      <c r="N749" s="28" t="s">
        <v>500</v>
      </c>
      <c r="O749" s="28" t="s">
        <v>878</v>
      </c>
      <c r="R749" s="28" t="s">
        <v>263</v>
      </c>
    </row>
    <row r="750" spans="5:18" x14ac:dyDescent="0.25">
      <c r="E750" s="28" t="s">
        <v>552</v>
      </c>
      <c r="H750" s="28" t="s">
        <v>452</v>
      </c>
      <c r="J750" s="28" t="s">
        <v>863</v>
      </c>
      <c r="K750" s="28" t="s">
        <v>1064</v>
      </c>
      <c r="N750" s="28" t="s">
        <v>500</v>
      </c>
      <c r="O750" s="28" t="s">
        <v>705</v>
      </c>
      <c r="P750" s="28" t="s">
        <v>891</v>
      </c>
      <c r="Q750" s="28" t="s">
        <v>628</v>
      </c>
      <c r="R750" s="28" t="s">
        <v>254</v>
      </c>
    </row>
    <row r="751" spans="5:18" x14ac:dyDescent="0.25">
      <c r="H751" s="28" t="s">
        <v>452</v>
      </c>
      <c r="J751" s="28" t="s">
        <v>864</v>
      </c>
      <c r="K751" s="28" t="s">
        <v>1065</v>
      </c>
      <c r="M751" s="28" t="s">
        <v>1161</v>
      </c>
      <c r="O751" s="28" t="s">
        <v>1283</v>
      </c>
      <c r="P751" s="28" t="s">
        <v>892</v>
      </c>
      <c r="Q751" s="28" t="s">
        <v>629</v>
      </c>
      <c r="R751" s="28" t="s">
        <v>253</v>
      </c>
    </row>
    <row r="752" spans="5:18" x14ac:dyDescent="0.25">
      <c r="E752" s="28" t="s">
        <v>557</v>
      </c>
      <c r="J752" s="28" t="s">
        <v>1025</v>
      </c>
      <c r="K752" s="28" t="s">
        <v>1052</v>
      </c>
      <c r="M752" s="28" t="s">
        <v>1162</v>
      </c>
      <c r="N752" s="28" t="s">
        <v>845</v>
      </c>
      <c r="Q752" s="28" t="s">
        <v>630</v>
      </c>
    </row>
    <row r="753" spans="5:18" x14ac:dyDescent="0.25">
      <c r="H753" s="28" t="s">
        <v>849</v>
      </c>
      <c r="J753" s="28" t="s">
        <v>1026</v>
      </c>
      <c r="K753" s="28" t="s">
        <v>1059</v>
      </c>
      <c r="N753" s="28" t="s">
        <v>846</v>
      </c>
      <c r="O753" s="28" t="s">
        <v>914</v>
      </c>
      <c r="P753" s="28" t="s">
        <v>779</v>
      </c>
      <c r="Q753" s="28" t="s">
        <v>631</v>
      </c>
      <c r="R753" s="28" t="s">
        <v>254</v>
      </c>
    </row>
    <row r="754" spans="5:18" x14ac:dyDescent="0.25">
      <c r="E754" s="28" t="s">
        <v>243</v>
      </c>
      <c r="H754" s="28" t="s">
        <v>850</v>
      </c>
      <c r="J754" s="28" t="s">
        <v>1027</v>
      </c>
      <c r="K754" s="28" t="s">
        <v>1052</v>
      </c>
      <c r="M754" s="28" t="s">
        <v>808</v>
      </c>
      <c r="P754" s="28" t="s">
        <v>778</v>
      </c>
      <c r="Q754" s="28" t="s">
        <v>632</v>
      </c>
      <c r="R754" s="28" t="s">
        <v>255</v>
      </c>
    </row>
    <row r="755" spans="5:18" x14ac:dyDescent="0.25">
      <c r="E755" s="28" t="s">
        <v>424</v>
      </c>
      <c r="H755" s="28" t="s">
        <v>871</v>
      </c>
      <c r="K755" s="28" t="s">
        <v>1059</v>
      </c>
      <c r="N755" s="28" t="s">
        <v>847</v>
      </c>
      <c r="O755" s="28" t="s">
        <v>880</v>
      </c>
      <c r="Q755" s="28" t="s">
        <v>633</v>
      </c>
      <c r="R755" s="28" t="s">
        <v>248</v>
      </c>
    </row>
    <row r="756" spans="5:18" x14ac:dyDescent="0.25">
      <c r="H756" s="28" t="s">
        <v>872</v>
      </c>
      <c r="J756" s="28" t="s">
        <v>419</v>
      </c>
      <c r="M756" s="28" t="s">
        <v>878</v>
      </c>
      <c r="N756" s="28" t="s">
        <v>848</v>
      </c>
      <c r="O756" s="28" t="s">
        <v>881</v>
      </c>
      <c r="P756" s="28" t="s">
        <v>1391</v>
      </c>
      <c r="R756" s="28" t="s">
        <v>246</v>
      </c>
    </row>
    <row r="757" spans="5:18" x14ac:dyDescent="0.25">
      <c r="E757" s="28" t="s">
        <v>419</v>
      </c>
      <c r="H757" s="28" t="s">
        <v>873</v>
      </c>
      <c r="J757" s="28" t="s">
        <v>419</v>
      </c>
      <c r="K757" s="28" t="s">
        <v>858</v>
      </c>
      <c r="M757" s="28" t="s">
        <v>705</v>
      </c>
      <c r="O757" s="28" t="s">
        <v>882</v>
      </c>
      <c r="Q757" s="28" t="s">
        <v>637</v>
      </c>
      <c r="R757" s="28" t="s">
        <v>256</v>
      </c>
    </row>
    <row r="758" spans="5:18" x14ac:dyDescent="0.25">
      <c r="E758" s="28" t="s">
        <v>419</v>
      </c>
      <c r="H758" s="28" t="s">
        <v>874</v>
      </c>
      <c r="J758" s="28" t="s">
        <v>419</v>
      </c>
      <c r="K758" s="28" t="s">
        <v>858</v>
      </c>
      <c r="M758" s="28" t="s">
        <v>1135</v>
      </c>
      <c r="N758" s="28" t="s">
        <v>861</v>
      </c>
      <c r="P758" s="28" t="s">
        <v>77</v>
      </c>
      <c r="Q758" s="28" t="s">
        <v>1334</v>
      </c>
    </row>
    <row r="759" spans="5:18" x14ac:dyDescent="0.25">
      <c r="E759" s="28" t="s">
        <v>160</v>
      </c>
      <c r="H759" s="28" t="s">
        <v>875</v>
      </c>
      <c r="J759" s="28" t="s">
        <v>419</v>
      </c>
      <c r="K759" s="28" t="s">
        <v>859</v>
      </c>
      <c r="N759" s="28" t="s">
        <v>499</v>
      </c>
      <c r="O759" s="28" t="s">
        <v>883</v>
      </c>
      <c r="Q759" s="28" t="s">
        <v>639</v>
      </c>
      <c r="R759" s="28" t="s">
        <v>265</v>
      </c>
    </row>
    <row r="760" spans="5:18" x14ac:dyDescent="0.25">
      <c r="J760" s="28" t="s">
        <v>419</v>
      </c>
      <c r="K760" s="28" t="s">
        <v>858</v>
      </c>
      <c r="M760" s="28" t="s">
        <v>879</v>
      </c>
      <c r="N760" s="28" t="s">
        <v>497</v>
      </c>
      <c r="P760" s="28" t="s">
        <v>1382</v>
      </c>
      <c r="Q760" s="28" t="s">
        <v>640</v>
      </c>
      <c r="R760" s="28" t="s">
        <v>266</v>
      </c>
    </row>
    <row r="761" spans="5:18" x14ac:dyDescent="0.25">
      <c r="E761" s="28" t="s">
        <v>422</v>
      </c>
      <c r="H761" s="28" t="s">
        <v>667</v>
      </c>
      <c r="K761" s="28" t="s">
        <v>858</v>
      </c>
      <c r="N761" s="28" t="s">
        <v>497</v>
      </c>
      <c r="O761" s="28" t="s">
        <v>884</v>
      </c>
      <c r="Q761" s="28" t="s">
        <v>641</v>
      </c>
      <c r="R761" s="28" t="s">
        <v>267</v>
      </c>
    </row>
    <row r="762" spans="5:18" x14ac:dyDescent="0.25">
      <c r="E762" s="28" t="s">
        <v>422</v>
      </c>
      <c r="H762" s="28" t="s">
        <v>653</v>
      </c>
      <c r="J762" s="28" t="s">
        <v>867</v>
      </c>
      <c r="K762" s="28" t="s">
        <v>858</v>
      </c>
      <c r="M762" s="28" t="s">
        <v>880</v>
      </c>
      <c r="N762" s="28" t="s">
        <v>497</v>
      </c>
      <c r="P762" s="28" t="s">
        <v>786</v>
      </c>
      <c r="Q762" s="28" t="s">
        <v>642</v>
      </c>
      <c r="R762" s="28" t="s">
        <v>268</v>
      </c>
    </row>
    <row r="763" spans="5:18" x14ac:dyDescent="0.25">
      <c r="E763" s="28" t="s">
        <v>160</v>
      </c>
      <c r="H763" s="28" t="s">
        <v>653</v>
      </c>
      <c r="J763" s="28" t="s">
        <v>868</v>
      </c>
      <c r="M763" s="28" t="s">
        <v>881</v>
      </c>
      <c r="N763" s="28" t="s">
        <v>497</v>
      </c>
      <c r="O763" s="28" t="s">
        <v>885</v>
      </c>
    </row>
    <row r="764" spans="5:18" x14ac:dyDescent="0.25">
      <c r="H764" s="28" t="s">
        <v>667</v>
      </c>
      <c r="J764" s="28" t="s">
        <v>716</v>
      </c>
      <c r="K764" s="28" t="s">
        <v>500</v>
      </c>
      <c r="M764" s="28" t="s">
        <v>882</v>
      </c>
      <c r="N764" s="28" t="s">
        <v>862</v>
      </c>
      <c r="P764" s="28" t="s">
        <v>1383</v>
      </c>
      <c r="Q764" s="28" t="s">
        <v>643</v>
      </c>
      <c r="R764" s="28" t="s">
        <v>269</v>
      </c>
    </row>
    <row r="765" spans="5:18" x14ac:dyDescent="0.25">
      <c r="E765" s="28" t="s">
        <v>419</v>
      </c>
      <c r="H765" s="28" t="s">
        <v>653</v>
      </c>
      <c r="J765" s="28" t="s">
        <v>716</v>
      </c>
      <c r="K765" s="28" t="s">
        <v>500</v>
      </c>
      <c r="O765" s="28" t="s">
        <v>687</v>
      </c>
      <c r="P765" s="28" t="s">
        <v>1361</v>
      </c>
      <c r="Q765" s="28" t="s">
        <v>644</v>
      </c>
      <c r="R765" s="28" t="s">
        <v>270</v>
      </c>
    </row>
    <row r="766" spans="5:18" x14ac:dyDescent="0.25">
      <c r="E766" s="28" t="s">
        <v>420</v>
      </c>
      <c r="J766" s="28" t="s">
        <v>716</v>
      </c>
      <c r="K766" s="28" t="s">
        <v>500</v>
      </c>
      <c r="M766" s="28" t="s">
        <v>883</v>
      </c>
      <c r="N766" s="28" t="s">
        <v>841</v>
      </c>
      <c r="O766" s="28" t="s">
        <v>711</v>
      </c>
      <c r="Q766" s="28" t="s">
        <v>645</v>
      </c>
      <c r="R766" s="28" t="s">
        <v>268</v>
      </c>
    </row>
    <row r="767" spans="5:18" x14ac:dyDescent="0.25">
      <c r="E767" s="28" t="s">
        <v>212</v>
      </c>
      <c r="H767" s="28" t="s">
        <v>664</v>
      </c>
      <c r="J767" s="28" t="s">
        <v>716</v>
      </c>
      <c r="K767" s="28" t="s">
        <v>500</v>
      </c>
      <c r="N767" s="28" t="s">
        <v>842</v>
      </c>
      <c r="P767" s="28" t="s">
        <v>326</v>
      </c>
      <c r="Q767" s="28" t="s">
        <v>646</v>
      </c>
      <c r="R767" s="28" t="s">
        <v>267</v>
      </c>
    </row>
    <row r="768" spans="5:18" x14ac:dyDescent="0.25">
      <c r="H768" s="28" t="s">
        <v>664</v>
      </c>
      <c r="J768" s="28" t="s">
        <v>716</v>
      </c>
      <c r="K768" s="28" t="s">
        <v>500</v>
      </c>
      <c r="M768" s="28" t="s">
        <v>884</v>
      </c>
      <c r="N768" s="28" t="s">
        <v>1224</v>
      </c>
      <c r="O768" s="28" t="s">
        <v>886</v>
      </c>
      <c r="P768" s="28" t="s">
        <v>327</v>
      </c>
      <c r="Q768" s="28" t="s">
        <v>647</v>
      </c>
      <c r="R768" s="28" t="s">
        <v>269</v>
      </c>
    </row>
    <row r="769" spans="5:18" x14ac:dyDescent="0.25">
      <c r="E769" s="28" t="s">
        <v>160</v>
      </c>
      <c r="H769" s="28" t="s">
        <v>664</v>
      </c>
      <c r="K769" s="28" t="s">
        <v>500</v>
      </c>
      <c r="N769" s="28" t="s">
        <v>1225</v>
      </c>
      <c r="Q769" s="28" t="s">
        <v>648</v>
      </c>
      <c r="R769" s="28" t="s">
        <v>265</v>
      </c>
    </row>
    <row r="770" spans="5:18" x14ac:dyDescent="0.25">
      <c r="E770" s="28" t="s">
        <v>419</v>
      </c>
      <c r="H770" s="28" t="s">
        <v>669</v>
      </c>
      <c r="J770" s="28" t="s">
        <v>869</v>
      </c>
      <c r="M770" s="28" t="s">
        <v>885</v>
      </c>
      <c r="N770" s="28" t="s">
        <v>1235</v>
      </c>
      <c r="O770" s="28" t="s">
        <v>205</v>
      </c>
      <c r="P770" s="28" t="s">
        <v>73</v>
      </c>
      <c r="R770" s="28" t="s">
        <v>254</v>
      </c>
    </row>
    <row r="771" spans="5:18" x14ac:dyDescent="0.25">
      <c r="E771" s="28" t="s">
        <v>160</v>
      </c>
      <c r="H771" s="28" t="s">
        <v>657</v>
      </c>
      <c r="J771" s="28" t="s">
        <v>870</v>
      </c>
      <c r="K771" s="28" t="s">
        <v>861</v>
      </c>
      <c r="N771" s="28" t="s">
        <v>722</v>
      </c>
      <c r="Q771" s="28" t="s">
        <v>73</v>
      </c>
    </row>
    <row r="772" spans="5:18" x14ac:dyDescent="0.25">
      <c r="J772" s="28" t="s">
        <v>869</v>
      </c>
      <c r="K772" s="28" t="s">
        <v>497</v>
      </c>
      <c r="M772" s="28" t="s">
        <v>687</v>
      </c>
      <c r="N772" s="28" t="s">
        <v>1236</v>
      </c>
      <c r="O772" s="28" t="s">
        <v>887</v>
      </c>
      <c r="P772" s="28" t="s">
        <v>906</v>
      </c>
      <c r="Q772" s="28" t="s">
        <v>43</v>
      </c>
      <c r="R772" s="28" t="s">
        <v>271</v>
      </c>
    </row>
    <row r="773" spans="5:18" x14ac:dyDescent="0.25">
      <c r="E773" s="28" t="s">
        <v>243</v>
      </c>
      <c r="H773" s="28" t="s">
        <v>857</v>
      </c>
      <c r="J773" s="28" t="s">
        <v>869</v>
      </c>
      <c r="K773" s="28" t="s">
        <v>497</v>
      </c>
      <c r="M773" s="28" t="s">
        <v>1150</v>
      </c>
      <c r="N773" s="28" t="s">
        <v>658</v>
      </c>
      <c r="O773" s="28" t="s">
        <v>888</v>
      </c>
      <c r="P773" s="28" t="s">
        <v>350</v>
      </c>
    </row>
    <row r="774" spans="5:18" x14ac:dyDescent="0.25">
      <c r="E774" s="28" t="s">
        <v>424</v>
      </c>
      <c r="H774" s="28" t="s">
        <v>859</v>
      </c>
      <c r="J774" s="28" t="s">
        <v>870</v>
      </c>
      <c r="K774" s="28" t="s">
        <v>862</v>
      </c>
      <c r="O774" s="28" t="s">
        <v>715</v>
      </c>
      <c r="Q774" s="28" t="s">
        <v>784</v>
      </c>
      <c r="R774" s="28" t="s">
        <v>273</v>
      </c>
    </row>
    <row r="775" spans="5:18" x14ac:dyDescent="0.25">
      <c r="H775" s="28" t="s">
        <v>858</v>
      </c>
      <c r="K775" s="28" t="s">
        <v>497</v>
      </c>
      <c r="M775" s="28" t="s">
        <v>886</v>
      </c>
      <c r="N775" s="28" t="s">
        <v>843</v>
      </c>
      <c r="P775" s="28" t="s">
        <v>244</v>
      </c>
      <c r="Q775" s="28" t="s">
        <v>785</v>
      </c>
      <c r="R775" s="28" t="s">
        <v>274</v>
      </c>
    </row>
    <row r="776" spans="5:18" x14ac:dyDescent="0.25">
      <c r="E776" s="28" t="s">
        <v>243</v>
      </c>
      <c r="H776" s="28" t="s">
        <v>858</v>
      </c>
      <c r="J776" s="28" t="s">
        <v>502</v>
      </c>
      <c r="K776" s="28" t="s">
        <v>497</v>
      </c>
      <c r="N776" s="28" t="s">
        <v>844</v>
      </c>
      <c r="O776" s="28" t="s">
        <v>889</v>
      </c>
      <c r="R776" s="28" t="s">
        <v>266</v>
      </c>
    </row>
    <row r="777" spans="5:18" x14ac:dyDescent="0.25">
      <c r="E777" s="28" t="s">
        <v>424</v>
      </c>
      <c r="H777" s="28" t="s">
        <v>859</v>
      </c>
      <c r="J777" s="28" t="s">
        <v>452</v>
      </c>
      <c r="K777" s="28" t="s">
        <v>497</v>
      </c>
      <c r="M777" s="28" t="s">
        <v>205</v>
      </c>
      <c r="N777" s="28" t="s">
        <v>1227</v>
      </c>
      <c r="O777" s="28" t="s">
        <v>715</v>
      </c>
      <c r="P777" s="28" t="s">
        <v>1384</v>
      </c>
      <c r="Q777" s="28" t="s">
        <v>786</v>
      </c>
      <c r="R777" s="28" t="s">
        <v>275</v>
      </c>
    </row>
    <row r="778" spans="5:18" x14ac:dyDescent="0.25">
      <c r="J778" s="28" t="s">
        <v>452</v>
      </c>
      <c r="N778" s="28" t="s">
        <v>1228</v>
      </c>
      <c r="Q778" s="28" t="s">
        <v>1367</v>
      </c>
    </row>
    <row r="779" spans="5:18" x14ac:dyDescent="0.25">
      <c r="E779" s="28" t="s">
        <v>419</v>
      </c>
      <c r="H779" s="28" t="s">
        <v>860</v>
      </c>
      <c r="J779" s="28" t="s">
        <v>452</v>
      </c>
      <c r="K779" s="28" t="s">
        <v>722</v>
      </c>
      <c r="M779" s="28" t="s">
        <v>887</v>
      </c>
      <c r="N779" s="28" t="s">
        <v>869</v>
      </c>
      <c r="O779" s="28" t="s">
        <v>722</v>
      </c>
      <c r="P779" s="28" t="s">
        <v>1385</v>
      </c>
      <c r="R779" s="28" t="s">
        <v>891</v>
      </c>
    </row>
    <row r="780" spans="5:18" x14ac:dyDescent="0.25">
      <c r="E780" s="28" t="s">
        <v>420</v>
      </c>
      <c r="H780" s="28" t="s">
        <v>500</v>
      </c>
      <c r="J780" s="28" t="s">
        <v>452</v>
      </c>
      <c r="K780" s="28" t="s">
        <v>722</v>
      </c>
      <c r="M780" s="28" t="s">
        <v>888</v>
      </c>
      <c r="N780" s="28" t="s">
        <v>870</v>
      </c>
      <c r="Q780" s="28" t="s">
        <v>787</v>
      </c>
      <c r="R780" s="28" t="s">
        <v>892</v>
      </c>
    </row>
    <row r="781" spans="5:18" x14ac:dyDescent="0.25">
      <c r="E781" s="28" t="s">
        <v>212</v>
      </c>
      <c r="H781" s="28" t="s">
        <v>500</v>
      </c>
      <c r="K781" s="28" t="s">
        <v>1076</v>
      </c>
      <c r="M781" s="28" t="s">
        <v>1152</v>
      </c>
      <c r="N781" s="28" t="s">
        <v>870</v>
      </c>
      <c r="O781" s="28" t="s">
        <v>160</v>
      </c>
      <c r="P781" s="28" t="s">
        <v>1386</v>
      </c>
    </row>
    <row r="782" spans="5:18" x14ac:dyDescent="0.25">
      <c r="H782" s="28" t="s">
        <v>500</v>
      </c>
      <c r="J782" s="28" t="s">
        <v>849</v>
      </c>
      <c r="K782" s="28" t="s">
        <v>1077</v>
      </c>
      <c r="N782" s="28" t="s">
        <v>869</v>
      </c>
      <c r="Q782" s="28" t="s">
        <v>1368</v>
      </c>
      <c r="R782" s="28" t="s">
        <v>779</v>
      </c>
    </row>
    <row r="783" spans="5:18" x14ac:dyDescent="0.25">
      <c r="E783" s="28" t="s">
        <v>243</v>
      </c>
      <c r="H783" s="28" t="s">
        <v>500</v>
      </c>
      <c r="J783" s="28" t="s">
        <v>850</v>
      </c>
      <c r="K783" s="28" t="s">
        <v>593</v>
      </c>
      <c r="M783" s="28" t="s">
        <v>889</v>
      </c>
      <c r="O783" s="28" t="s">
        <v>918</v>
      </c>
      <c r="P783" s="28" t="s">
        <v>245</v>
      </c>
      <c r="Q783" s="28" t="s">
        <v>1368</v>
      </c>
      <c r="R783" s="28" t="s">
        <v>778</v>
      </c>
    </row>
    <row r="784" spans="5:18" x14ac:dyDescent="0.25">
      <c r="E784" s="28" t="s">
        <v>424</v>
      </c>
      <c r="J784" s="28" t="s">
        <v>1028</v>
      </c>
      <c r="K784" s="28" t="s">
        <v>593</v>
      </c>
      <c r="M784" s="28" t="s">
        <v>1152</v>
      </c>
      <c r="N784" s="28" t="s">
        <v>867</v>
      </c>
      <c r="O784" s="28" t="s">
        <v>982</v>
      </c>
      <c r="P784" s="28" t="s">
        <v>246</v>
      </c>
    </row>
    <row r="785" spans="5:18" x14ac:dyDescent="0.25">
      <c r="H785" s="28" t="s">
        <v>861</v>
      </c>
      <c r="J785" s="28" t="s">
        <v>1029</v>
      </c>
      <c r="N785" s="28" t="s">
        <v>868</v>
      </c>
      <c r="P785" s="28" t="s">
        <v>247</v>
      </c>
      <c r="Q785" s="28" t="s">
        <v>789</v>
      </c>
      <c r="R785" s="28" t="s">
        <v>1511</v>
      </c>
    </row>
    <row r="786" spans="5:18" x14ac:dyDescent="0.25">
      <c r="E786" s="28" t="s">
        <v>243</v>
      </c>
      <c r="H786" s="28" t="s">
        <v>499</v>
      </c>
      <c r="J786" s="28" t="s">
        <v>1030</v>
      </c>
      <c r="K786" s="28" t="s">
        <v>722</v>
      </c>
      <c r="M786" s="28" t="s">
        <v>1151</v>
      </c>
      <c r="N786" s="28" t="s">
        <v>1227</v>
      </c>
      <c r="O786" s="28" t="s">
        <v>1105</v>
      </c>
      <c r="P786" s="28" t="s">
        <v>248</v>
      </c>
    </row>
    <row r="787" spans="5:18" x14ac:dyDescent="0.25">
      <c r="E787" s="28" t="s">
        <v>424</v>
      </c>
      <c r="H787" s="28" t="s">
        <v>862</v>
      </c>
      <c r="J787" s="28" t="s">
        <v>1031</v>
      </c>
      <c r="K787" s="28" t="s">
        <v>722</v>
      </c>
      <c r="N787" s="28" t="s">
        <v>1228</v>
      </c>
      <c r="P787" s="28" t="s">
        <v>245</v>
      </c>
      <c r="Q787" s="28" t="s">
        <v>777</v>
      </c>
      <c r="R787" s="28" t="s">
        <v>77</v>
      </c>
    </row>
    <row r="788" spans="5:18" x14ac:dyDescent="0.25">
      <c r="H788" s="28" t="s">
        <v>497</v>
      </c>
      <c r="K788" s="28" t="s">
        <v>1076</v>
      </c>
      <c r="M788" s="28" t="s">
        <v>160</v>
      </c>
      <c r="N788" s="28" t="s">
        <v>869</v>
      </c>
      <c r="O788" s="28" t="s">
        <v>722</v>
      </c>
      <c r="P788" s="28" t="s">
        <v>249</v>
      </c>
      <c r="Q788" s="28" t="s">
        <v>777</v>
      </c>
    </row>
    <row r="789" spans="5:18" x14ac:dyDescent="0.25">
      <c r="E789" s="28" t="s">
        <v>419</v>
      </c>
      <c r="H789" s="28" t="s">
        <v>497</v>
      </c>
      <c r="J789" s="28" t="s">
        <v>988</v>
      </c>
      <c r="K789" s="28" t="s">
        <v>1077</v>
      </c>
      <c r="N789" s="28" t="s">
        <v>870</v>
      </c>
      <c r="P789" s="28" t="s">
        <v>247</v>
      </c>
      <c r="R789" s="28" t="s">
        <v>1512</v>
      </c>
    </row>
    <row r="790" spans="5:18" x14ac:dyDescent="0.25">
      <c r="E790" s="28" t="s">
        <v>419</v>
      </c>
      <c r="H790" s="28" t="s">
        <v>862</v>
      </c>
      <c r="J790" s="28" t="s">
        <v>988</v>
      </c>
      <c r="K790" s="28" t="s">
        <v>593</v>
      </c>
      <c r="M790" s="28" t="s">
        <v>243</v>
      </c>
      <c r="N790" s="28" t="s">
        <v>870</v>
      </c>
      <c r="O790" s="28" t="s">
        <v>502</v>
      </c>
      <c r="P790" s="28" t="s">
        <v>250</v>
      </c>
      <c r="Q790" s="28" t="s">
        <v>790</v>
      </c>
    </row>
    <row r="791" spans="5:18" x14ac:dyDescent="0.25">
      <c r="E791" s="28" t="s">
        <v>160</v>
      </c>
      <c r="J791" s="28" t="s">
        <v>988</v>
      </c>
      <c r="K791" s="28" t="s">
        <v>593</v>
      </c>
      <c r="M791" s="28" t="s">
        <v>244</v>
      </c>
      <c r="N791" s="28" t="s">
        <v>869</v>
      </c>
      <c r="P791" s="28" t="s">
        <v>251</v>
      </c>
      <c r="Q791" s="28" t="s">
        <v>791</v>
      </c>
      <c r="R791" s="28" t="s">
        <v>786</v>
      </c>
    </row>
    <row r="792" spans="5:18" x14ac:dyDescent="0.25">
      <c r="H792" s="28" t="s">
        <v>863</v>
      </c>
      <c r="J792" s="28" t="s">
        <v>991</v>
      </c>
      <c r="M792" s="28" t="s">
        <v>285</v>
      </c>
      <c r="O792" s="28" t="s">
        <v>916</v>
      </c>
      <c r="P792" s="28" t="s">
        <v>245</v>
      </c>
    </row>
    <row r="793" spans="5:18" x14ac:dyDescent="0.25">
      <c r="E793" s="28" t="s">
        <v>422</v>
      </c>
      <c r="H793" s="28" t="s">
        <v>876</v>
      </c>
      <c r="K793" s="28" t="s">
        <v>843</v>
      </c>
      <c r="M793" s="28" t="s">
        <v>160</v>
      </c>
      <c r="N793" s="28" t="s">
        <v>1224</v>
      </c>
      <c r="P793" s="28" t="s">
        <v>252</v>
      </c>
      <c r="Q793" s="28" t="s">
        <v>792</v>
      </c>
      <c r="R793" s="28" t="s">
        <v>1383</v>
      </c>
    </row>
    <row r="794" spans="5:18" x14ac:dyDescent="0.25">
      <c r="E794" s="28" t="s">
        <v>422</v>
      </c>
      <c r="H794" s="28" t="s">
        <v>877</v>
      </c>
      <c r="J794" s="28" t="s">
        <v>984</v>
      </c>
      <c r="K794" s="28" t="s">
        <v>844</v>
      </c>
      <c r="N794" s="28" t="s">
        <v>1225</v>
      </c>
      <c r="O794" s="28" t="s">
        <v>916</v>
      </c>
      <c r="Q794" s="28" t="s">
        <v>792</v>
      </c>
      <c r="R794" s="28" t="s">
        <v>1497</v>
      </c>
    </row>
    <row r="795" spans="5:18" x14ac:dyDescent="0.25">
      <c r="E795" s="28" t="s">
        <v>160</v>
      </c>
      <c r="H795" s="28" t="s">
        <v>593</v>
      </c>
      <c r="J795" s="28" t="s">
        <v>987</v>
      </c>
      <c r="K795" s="28" t="s">
        <v>870</v>
      </c>
      <c r="M795" s="28" t="s">
        <v>809</v>
      </c>
      <c r="N795" s="28" t="s">
        <v>1235</v>
      </c>
      <c r="P795" s="28" t="s">
        <v>253</v>
      </c>
    </row>
    <row r="796" spans="5:18" x14ac:dyDescent="0.25">
      <c r="H796" s="28" t="s">
        <v>658</v>
      </c>
      <c r="J796" s="28" t="s">
        <v>987</v>
      </c>
      <c r="K796" s="28" t="s">
        <v>870</v>
      </c>
      <c r="M796" s="28" t="s">
        <v>810</v>
      </c>
      <c r="N796" s="28" t="s">
        <v>722</v>
      </c>
      <c r="O796" s="28" t="s">
        <v>433</v>
      </c>
      <c r="Q796" s="28" t="s">
        <v>779</v>
      </c>
      <c r="R796" s="28" t="s">
        <v>326</v>
      </c>
    </row>
    <row r="797" spans="5:18" x14ac:dyDescent="0.25">
      <c r="E797" s="28" t="s">
        <v>419</v>
      </c>
      <c r="J797" s="28" t="s">
        <v>994</v>
      </c>
      <c r="K797" s="28" t="s">
        <v>869</v>
      </c>
      <c r="M797" s="28" t="s">
        <v>811</v>
      </c>
      <c r="N797" s="28" t="s">
        <v>1236</v>
      </c>
      <c r="P797" s="28" t="s">
        <v>254</v>
      </c>
      <c r="Q797" s="28" t="s">
        <v>779</v>
      </c>
      <c r="R797" s="28" t="s">
        <v>327</v>
      </c>
    </row>
    <row r="798" spans="5:18" x14ac:dyDescent="0.25">
      <c r="E798" s="28" t="s">
        <v>420</v>
      </c>
      <c r="H798" s="28" t="s">
        <v>419</v>
      </c>
      <c r="K798" s="28" t="s">
        <v>869</v>
      </c>
      <c r="M798" s="28" t="s">
        <v>812</v>
      </c>
      <c r="N798" s="28" t="s">
        <v>658</v>
      </c>
      <c r="O798" s="28" t="s">
        <v>285</v>
      </c>
      <c r="P798" s="28" t="s">
        <v>255</v>
      </c>
    </row>
    <row r="799" spans="5:18" x14ac:dyDescent="0.25">
      <c r="E799" s="28" t="s">
        <v>212</v>
      </c>
      <c r="H799" s="28" t="s">
        <v>419</v>
      </c>
      <c r="J799" s="28" t="s">
        <v>858</v>
      </c>
      <c r="K799" s="28" t="s">
        <v>870</v>
      </c>
      <c r="M799" s="28" t="s">
        <v>809</v>
      </c>
      <c r="P799" s="28" t="s">
        <v>248</v>
      </c>
      <c r="Q799" s="28" t="s">
        <v>793</v>
      </c>
      <c r="R799" s="28" t="s">
        <v>73</v>
      </c>
    </row>
    <row r="800" spans="5:18" x14ac:dyDescent="0.25">
      <c r="H800" s="28" t="s">
        <v>419</v>
      </c>
      <c r="J800" s="28" t="s">
        <v>858</v>
      </c>
      <c r="K800" s="28" t="s">
        <v>870</v>
      </c>
      <c r="M800" s="28" t="s">
        <v>813</v>
      </c>
      <c r="N800" s="28" t="s">
        <v>502</v>
      </c>
      <c r="O800" s="28" t="s">
        <v>285</v>
      </c>
      <c r="P800" s="28" t="s">
        <v>246</v>
      </c>
      <c r="Q800" s="28" t="s">
        <v>794</v>
      </c>
    </row>
    <row r="801" spans="5:18" x14ac:dyDescent="0.25">
      <c r="E801" s="28" t="s">
        <v>160</v>
      </c>
      <c r="H801" s="28" t="s">
        <v>419</v>
      </c>
      <c r="J801" s="28" t="s">
        <v>859</v>
      </c>
      <c r="M801" s="28" t="s">
        <v>811</v>
      </c>
      <c r="N801" s="28" t="s">
        <v>423</v>
      </c>
      <c r="P801" s="28" t="s">
        <v>256</v>
      </c>
      <c r="R801" s="28" t="s">
        <v>906</v>
      </c>
    </row>
    <row r="802" spans="5:18" x14ac:dyDescent="0.25">
      <c r="E802" s="28" t="s">
        <v>419</v>
      </c>
      <c r="H802" s="28" t="s">
        <v>419</v>
      </c>
      <c r="J802" s="28" t="s">
        <v>858</v>
      </c>
      <c r="K802" s="28" t="s">
        <v>867</v>
      </c>
      <c r="M802" s="28" t="s">
        <v>814</v>
      </c>
      <c r="N802" s="28" t="s">
        <v>452</v>
      </c>
      <c r="O802" s="28" t="s">
        <v>502</v>
      </c>
      <c r="Q802" s="28" t="s">
        <v>795</v>
      </c>
      <c r="R802" s="28" t="s">
        <v>350</v>
      </c>
    </row>
    <row r="803" spans="5:18" x14ac:dyDescent="0.25">
      <c r="E803" s="28" t="s">
        <v>160</v>
      </c>
      <c r="K803" s="28" t="s">
        <v>868</v>
      </c>
      <c r="M803" s="28" t="s">
        <v>815</v>
      </c>
      <c r="N803" s="28" t="s">
        <v>452</v>
      </c>
      <c r="P803" s="28" t="s">
        <v>254</v>
      </c>
      <c r="Q803" s="28" t="s">
        <v>796</v>
      </c>
    </row>
    <row r="804" spans="5:18" x14ac:dyDescent="0.25">
      <c r="H804" s="28" t="s">
        <v>867</v>
      </c>
      <c r="J804" s="28" t="s">
        <v>500</v>
      </c>
      <c r="K804" s="28" t="s">
        <v>870</v>
      </c>
      <c r="M804" s="28" t="s">
        <v>809</v>
      </c>
      <c r="N804" s="28" t="s">
        <v>452</v>
      </c>
      <c r="O804" s="28" t="s">
        <v>420</v>
      </c>
      <c r="P804" s="28" t="s">
        <v>255</v>
      </c>
      <c r="R804" s="28" t="s">
        <v>212</v>
      </c>
    </row>
    <row r="805" spans="5:18" x14ac:dyDescent="0.25">
      <c r="E805" s="28" t="s">
        <v>243</v>
      </c>
      <c r="H805" s="28" t="s">
        <v>868</v>
      </c>
      <c r="J805" s="28" t="s">
        <v>500</v>
      </c>
      <c r="K805" s="28" t="s">
        <v>870</v>
      </c>
      <c r="M805" s="28" t="s">
        <v>816</v>
      </c>
      <c r="N805" s="28" t="s">
        <v>452</v>
      </c>
      <c r="O805" s="28" t="s">
        <v>420</v>
      </c>
      <c r="Q805" s="28" t="s">
        <v>341</v>
      </c>
    </row>
    <row r="806" spans="5:18" x14ac:dyDescent="0.25">
      <c r="E806" s="28" t="s">
        <v>424</v>
      </c>
      <c r="H806" s="28" t="s">
        <v>716</v>
      </c>
      <c r="J806" s="28" t="s">
        <v>500</v>
      </c>
      <c r="K806" s="28" t="s">
        <v>869</v>
      </c>
      <c r="P806" s="28" t="s">
        <v>257</v>
      </c>
      <c r="Q806" s="28" t="s">
        <v>797</v>
      </c>
      <c r="R806" s="28" t="s">
        <v>1384</v>
      </c>
    </row>
    <row r="807" spans="5:18" x14ac:dyDescent="0.25">
      <c r="H807" s="28" t="s">
        <v>716</v>
      </c>
      <c r="J807" s="28" t="s">
        <v>500</v>
      </c>
      <c r="K807" s="28" t="s">
        <v>869</v>
      </c>
      <c r="M807" s="28" t="s">
        <v>909</v>
      </c>
      <c r="N807" s="28" t="s">
        <v>969</v>
      </c>
      <c r="O807" s="28" t="s">
        <v>420</v>
      </c>
      <c r="P807" s="28" t="s">
        <v>247</v>
      </c>
      <c r="Q807" s="28" t="s">
        <v>798</v>
      </c>
    </row>
    <row r="808" spans="5:18" x14ac:dyDescent="0.25">
      <c r="E808" s="28" t="s">
        <v>243</v>
      </c>
      <c r="H808" s="28" t="s">
        <v>716</v>
      </c>
      <c r="K808" s="28" t="s">
        <v>870</v>
      </c>
      <c r="M808" s="28" t="s">
        <v>910</v>
      </c>
      <c r="O808" s="28" t="s">
        <v>420</v>
      </c>
      <c r="P808" s="28" t="s">
        <v>258</v>
      </c>
      <c r="Q808" s="28" t="s">
        <v>799</v>
      </c>
      <c r="R808" s="28" t="s">
        <v>1385</v>
      </c>
    </row>
    <row r="809" spans="5:18" x14ac:dyDescent="0.25">
      <c r="E809" s="28" t="s">
        <v>424</v>
      </c>
      <c r="H809" s="28" t="s">
        <v>716</v>
      </c>
      <c r="J809" s="28" t="s">
        <v>861</v>
      </c>
      <c r="K809" s="28" t="s">
        <v>870</v>
      </c>
      <c r="N809" s="28" t="s">
        <v>970</v>
      </c>
      <c r="P809" s="28" t="s">
        <v>259</v>
      </c>
    </row>
    <row r="810" spans="5:18" x14ac:dyDescent="0.25">
      <c r="H810" s="28" t="s">
        <v>716</v>
      </c>
      <c r="J810" s="28" t="s">
        <v>497</v>
      </c>
      <c r="M810" s="28" t="s">
        <v>810</v>
      </c>
      <c r="O810" s="28" t="s">
        <v>212</v>
      </c>
      <c r="Q810" s="28" t="s">
        <v>1445</v>
      </c>
      <c r="R810" s="28" t="s">
        <v>1386</v>
      </c>
    </row>
    <row r="811" spans="5:18" x14ac:dyDescent="0.25">
      <c r="E811" s="28" t="s">
        <v>419</v>
      </c>
      <c r="J811" s="28" t="s">
        <v>497</v>
      </c>
      <c r="K811" s="28" t="s">
        <v>452</v>
      </c>
      <c r="N811" s="28" t="s">
        <v>1168</v>
      </c>
      <c r="P811" s="28" t="s">
        <v>247</v>
      </c>
    </row>
    <row r="812" spans="5:18" x14ac:dyDescent="0.25">
      <c r="E812" s="28" t="s">
        <v>420</v>
      </c>
      <c r="H812" s="28" t="s">
        <v>869</v>
      </c>
      <c r="J812" s="28" t="s">
        <v>862</v>
      </c>
      <c r="K812" s="28" t="s">
        <v>452</v>
      </c>
      <c r="M812" s="28" t="s">
        <v>811</v>
      </c>
      <c r="O812" s="28" t="s">
        <v>212</v>
      </c>
      <c r="P812" s="28" t="s">
        <v>260</v>
      </c>
      <c r="Q812" s="28" t="s">
        <v>73</v>
      </c>
      <c r="R812" s="28" t="s">
        <v>1371</v>
      </c>
    </row>
    <row r="813" spans="5:18" x14ac:dyDescent="0.25">
      <c r="E813" s="28" t="s">
        <v>212</v>
      </c>
      <c r="H813" s="28" t="s">
        <v>869</v>
      </c>
      <c r="J813" s="28" t="s">
        <v>497</v>
      </c>
      <c r="K813" s="28" t="s">
        <v>452</v>
      </c>
      <c r="M813" s="28" t="s">
        <v>820</v>
      </c>
      <c r="N813" s="28" t="s">
        <v>275</v>
      </c>
      <c r="P813" s="28" t="s">
        <v>247</v>
      </c>
      <c r="Q813" s="28" t="s">
        <v>43</v>
      </c>
      <c r="R813" s="28" t="s">
        <v>194</v>
      </c>
    </row>
    <row r="814" spans="5:18" x14ac:dyDescent="0.25">
      <c r="H814" s="28" t="s">
        <v>869</v>
      </c>
      <c r="K814" s="28" t="s">
        <v>452</v>
      </c>
      <c r="M814" s="28" t="s">
        <v>821</v>
      </c>
      <c r="O814" s="28" t="s">
        <v>212</v>
      </c>
      <c r="P814" s="28" t="s">
        <v>261</v>
      </c>
    </row>
    <row r="815" spans="5:18" x14ac:dyDescent="0.25">
      <c r="E815" s="28" t="s">
        <v>243</v>
      </c>
      <c r="H815" s="28" t="s">
        <v>870</v>
      </c>
      <c r="J815" s="28" t="s">
        <v>983</v>
      </c>
      <c r="K815" s="28" t="s">
        <v>452</v>
      </c>
      <c r="N815" s="28" t="s">
        <v>764</v>
      </c>
      <c r="P815" s="28" t="s">
        <v>254</v>
      </c>
      <c r="Q815" s="28" t="s">
        <v>786</v>
      </c>
      <c r="R815" s="28" t="s">
        <v>190</v>
      </c>
    </row>
    <row r="816" spans="5:18" x14ac:dyDescent="0.25">
      <c r="E816" s="28" t="s">
        <v>424</v>
      </c>
      <c r="H816" s="28" t="s">
        <v>869</v>
      </c>
      <c r="J816" s="28" t="s">
        <v>1032</v>
      </c>
      <c r="K816" s="28" t="s">
        <v>452</v>
      </c>
      <c r="M816" s="28" t="s">
        <v>811</v>
      </c>
      <c r="O816" s="28" t="s">
        <v>212</v>
      </c>
      <c r="Q816" s="28" t="s">
        <v>1367</v>
      </c>
    </row>
    <row r="817" spans="5:18" x14ac:dyDescent="0.25">
      <c r="J817" s="28" t="s">
        <v>1033</v>
      </c>
      <c r="M817" s="28" t="s">
        <v>822</v>
      </c>
      <c r="N817" s="28" t="s">
        <v>765</v>
      </c>
      <c r="P817" s="28" t="s">
        <v>262</v>
      </c>
      <c r="Q817" s="28" t="s">
        <v>800</v>
      </c>
      <c r="R817" s="28" t="s">
        <v>1372</v>
      </c>
    </row>
    <row r="818" spans="5:18" x14ac:dyDescent="0.25">
      <c r="E818" s="28" t="s">
        <v>226</v>
      </c>
      <c r="H818" s="28" t="s">
        <v>502</v>
      </c>
      <c r="J818" s="28" t="s">
        <v>1034</v>
      </c>
      <c r="K818" s="28" t="s">
        <v>849</v>
      </c>
      <c r="M818" s="28" t="s">
        <v>811</v>
      </c>
      <c r="O818" s="28" t="s">
        <v>594</v>
      </c>
      <c r="Q818" s="28" t="s">
        <v>773</v>
      </c>
    </row>
    <row r="819" spans="5:18" x14ac:dyDescent="0.25">
      <c r="H819" s="28" t="s">
        <v>452</v>
      </c>
      <c r="K819" s="28" t="s">
        <v>850</v>
      </c>
      <c r="N819" s="28" t="s">
        <v>363</v>
      </c>
      <c r="P819" s="28" t="s">
        <v>254</v>
      </c>
      <c r="Q819" s="28" t="s">
        <v>786</v>
      </c>
      <c r="R819" s="28" t="s">
        <v>885</v>
      </c>
    </row>
    <row r="820" spans="5:18" x14ac:dyDescent="0.25">
      <c r="E820" s="28" t="s">
        <v>504</v>
      </c>
      <c r="H820" s="28" t="s">
        <v>452</v>
      </c>
      <c r="J820" s="28" t="s">
        <v>845</v>
      </c>
      <c r="K820" s="28" t="s">
        <v>1096</v>
      </c>
      <c r="M820" s="28" t="s">
        <v>911</v>
      </c>
      <c r="O820" s="28" t="s">
        <v>424</v>
      </c>
      <c r="P820" s="28" t="s">
        <v>255</v>
      </c>
      <c r="Q820" s="28" t="s">
        <v>801</v>
      </c>
    </row>
    <row r="821" spans="5:18" x14ac:dyDescent="0.25">
      <c r="H821" s="28" t="s">
        <v>452</v>
      </c>
      <c r="J821" s="28" t="s">
        <v>846</v>
      </c>
      <c r="K821" s="28" t="s">
        <v>1097</v>
      </c>
      <c r="N821" s="28" t="s">
        <v>82</v>
      </c>
      <c r="P821" s="28" t="s">
        <v>263</v>
      </c>
      <c r="Q821" s="28" t="s">
        <v>774</v>
      </c>
      <c r="R821" s="28" t="s">
        <v>687</v>
      </c>
    </row>
    <row r="822" spans="5:18" x14ac:dyDescent="0.25">
      <c r="E822" s="28" t="s">
        <v>424</v>
      </c>
      <c r="H822" s="28" t="s">
        <v>452</v>
      </c>
      <c r="K822" s="28" t="s">
        <v>1098</v>
      </c>
      <c r="M822" s="28" t="s">
        <v>823</v>
      </c>
      <c r="O822" s="28" t="s">
        <v>160</v>
      </c>
      <c r="P822" s="28" t="s">
        <v>261</v>
      </c>
      <c r="Q822" s="28" t="s">
        <v>802</v>
      </c>
    </row>
    <row r="823" spans="5:18" x14ac:dyDescent="0.25">
      <c r="J823" s="28" t="s">
        <v>847</v>
      </c>
      <c r="K823" s="28" t="s">
        <v>1099</v>
      </c>
      <c r="M823" s="28" t="s">
        <v>809</v>
      </c>
      <c r="N823" s="28" t="s">
        <v>766</v>
      </c>
      <c r="P823" s="28" t="s">
        <v>245</v>
      </c>
      <c r="Q823" s="28" t="s">
        <v>775</v>
      </c>
      <c r="R823" s="28" t="s">
        <v>1373</v>
      </c>
    </row>
    <row r="824" spans="5:18" x14ac:dyDescent="0.25">
      <c r="E824" s="28" t="s">
        <v>480</v>
      </c>
      <c r="H824" s="28" t="s">
        <v>878</v>
      </c>
      <c r="J824" s="28" t="s">
        <v>848</v>
      </c>
      <c r="K824" s="28" t="s">
        <v>1100</v>
      </c>
      <c r="M824" s="28" t="s">
        <v>826</v>
      </c>
      <c r="O824" s="28" t="s">
        <v>285</v>
      </c>
      <c r="P824" s="28" t="s">
        <v>264</v>
      </c>
    </row>
    <row r="825" spans="5:18" x14ac:dyDescent="0.25">
      <c r="H825" s="28" t="s">
        <v>705</v>
      </c>
      <c r="K825" s="28" t="s">
        <v>1101</v>
      </c>
      <c r="N825" s="28" t="s">
        <v>767</v>
      </c>
      <c r="Q825" s="28" t="s">
        <v>778</v>
      </c>
      <c r="R825" s="28" t="s">
        <v>1483</v>
      </c>
    </row>
    <row r="826" spans="5:18" x14ac:dyDescent="0.25">
      <c r="E826" s="28" t="s">
        <v>228</v>
      </c>
      <c r="H826" s="28" t="s">
        <v>653</v>
      </c>
      <c r="J826" s="28" t="s">
        <v>843</v>
      </c>
      <c r="M826" s="28" t="s">
        <v>827</v>
      </c>
      <c r="O826" s="28" t="s">
        <v>160</v>
      </c>
      <c r="P826" s="28" t="s">
        <v>255</v>
      </c>
    </row>
    <row r="827" spans="5:18" x14ac:dyDescent="0.25">
      <c r="J827" s="28" t="s">
        <v>844</v>
      </c>
      <c r="K827" s="28" t="s">
        <v>1056</v>
      </c>
      <c r="M827" s="28" t="s">
        <v>823</v>
      </c>
      <c r="N827" s="28" t="s">
        <v>768</v>
      </c>
      <c r="Q827" s="28" t="s">
        <v>777</v>
      </c>
      <c r="R827" s="28" t="s">
        <v>1490</v>
      </c>
    </row>
    <row r="828" spans="5:18" x14ac:dyDescent="0.25">
      <c r="E828" s="28" t="s">
        <v>505</v>
      </c>
      <c r="H828" s="28" t="s">
        <v>879</v>
      </c>
      <c r="J828" s="28" t="s">
        <v>870</v>
      </c>
      <c r="K828" s="28" t="s">
        <v>1056</v>
      </c>
      <c r="M828" s="28" t="s">
        <v>809</v>
      </c>
      <c r="O828" s="28" t="s">
        <v>243</v>
      </c>
      <c r="P828" s="28" t="s">
        <v>250</v>
      </c>
    </row>
    <row r="829" spans="5:18" x14ac:dyDescent="0.25">
      <c r="J829" s="28" t="s">
        <v>869</v>
      </c>
      <c r="K829" s="28" t="s">
        <v>1056</v>
      </c>
      <c r="N829" s="28" t="s">
        <v>674</v>
      </c>
      <c r="P829" s="28" t="s">
        <v>261</v>
      </c>
      <c r="Q829" s="28" t="s">
        <v>779</v>
      </c>
      <c r="R829" s="28" t="s">
        <v>1374</v>
      </c>
    </row>
    <row r="830" spans="5:18" x14ac:dyDescent="0.25">
      <c r="E830" s="28" t="s">
        <v>424</v>
      </c>
      <c r="H830" s="28" t="s">
        <v>880</v>
      </c>
      <c r="J830" s="28" t="s">
        <v>869</v>
      </c>
      <c r="K830" s="28" t="s">
        <v>1056</v>
      </c>
      <c r="M830" s="28" t="s">
        <v>912</v>
      </c>
      <c r="O830" s="28" t="s">
        <v>212</v>
      </c>
      <c r="P830" s="28" t="s">
        <v>245</v>
      </c>
      <c r="R830" s="28" t="s">
        <v>882</v>
      </c>
    </row>
    <row r="831" spans="5:18" x14ac:dyDescent="0.25">
      <c r="H831" s="28" t="s">
        <v>881</v>
      </c>
      <c r="J831" s="28" t="s">
        <v>870</v>
      </c>
      <c r="K831" s="28" t="s">
        <v>1055</v>
      </c>
      <c r="N831" s="28" t="s">
        <v>769</v>
      </c>
      <c r="P831" s="28" t="s">
        <v>263</v>
      </c>
      <c r="Q831" s="28" t="s">
        <v>786</v>
      </c>
    </row>
    <row r="832" spans="5:18" x14ac:dyDescent="0.25">
      <c r="E832" s="28" t="s">
        <v>511</v>
      </c>
      <c r="H832" s="28" t="s">
        <v>882</v>
      </c>
      <c r="K832" s="28" t="s">
        <v>1057</v>
      </c>
      <c r="M832" s="28" t="s">
        <v>810</v>
      </c>
      <c r="O832" s="28" t="s">
        <v>919</v>
      </c>
      <c r="P832" s="28" t="s">
        <v>254</v>
      </c>
      <c r="R832" s="28" t="s">
        <v>205</v>
      </c>
    </row>
    <row r="833" spans="5:18" x14ac:dyDescent="0.25">
      <c r="J833" s="28" t="s">
        <v>867</v>
      </c>
      <c r="M833" s="28" t="s">
        <v>818</v>
      </c>
      <c r="N833" s="28" t="s">
        <v>770</v>
      </c>
      <c r="O833" s="28" t="s">
        <v>930</v>
      </c>
      <c r="P833" s="28" t="s">
        <v>253</v>
      </c>
      <c r="Q833" s="28" t="s">
        <v>786</v>
      </c>
    </row>
    <row r="834" spans="5:18" x14ac:dyDescent="0.25">
      <c r="E834" s="28" t="s">
        <v>424</v>
      </c>
      <c r="H834" s="28" t="s">
        <v>883</v>
      </c>
      <c r="J834" s="28" t="s">
        <v>868</v>
      </c>
      <c r="K834" s="28" t="s">
        <v>1055</v>
      </c>
      <c r="N834" s="28" t="s">
        <v>1237</v>
      </c>
      <c r="R834" s="28" t="s">
        <v>160</v>
      </c>
    </row>
    <row r="835" spans="5:18" x14ac:dyDescent="0.25">
      <c r="J835" s="28" t="s">
        <v>716</v>
      </c>
      <c r="K835" s="28" t="s">
        <v>1057</v>
      </c>
      <c r="M835" s="28" t="s">
        <v>265</v>
      </c>
      <c r="O835" s="28" t="s">
        <v>1319</v>
      </c>
      <c r="P835" s="28" t="s">
        <v>254</v>
      </c>
      <c r="Q835" s="28" t="s">
        <v>77</v>
      </c>
    </row>
    <row r="836" spans="5:18" x14ac:dyDescent="0.25">
      <c r="E836" s="28" t="s">
        <v>230</v>
      </c>
      <c r="H836" s="28" t="s">
        <v>884</v>
      </c>
      <c r="J836" s="28" t="s">
        <v>716</v>
      </c>
      <c r="K836" s="28" t="s">
        <v>1059</v>
      </c>
      <c r="M836" s="28" t="s">
        <v>266</v>
      </c>
      <c r="N836" s="28" t="s">
        <v>772</v>
      </c>
      <c r="P836" s="28" t="s">
        <v>255</v>
      </c>
      <c r="R836" s="28" t="s">
        <v>1375</v>
      </c>
    </row>
    <row r="837" spans="5:18" x14ac:dyDescent="0.25">
      <c r="J837" s="28" t="s">
        <v>716</v>
      </c>
      <c r="K837" s="28" t="s">
        <v>1052</v>
      </c>
      <c r="M837" s="28" t="s">
        <v>267</v>
      </c>
      <c r="N837" s="28" t="s">
        <v>773</v>
      </c>
      <c r="O837" s="28" t="s">
        <v>809</v>
      </c>
      <c r="P837" s="28" t="s">
        <v>248</v>
      </c>
      <c r="Q837" s="28" t="s">
        <v>1456</v>
      </c>
      <c r="R837" s="28" t="s">
        <v>1376</v>
      </c>
    </row>
    <row r="838" spans="5:18" x14ac:dyDescent="0.25">
      <c r="E838" s="28" t="s">
        <v>481</v>
      </c>
      <c r="H838" s="28" t="s">
        <v>885</v>
      </c>
      <c r="J838" s="28" t="s">
        <v>716</v>
      </c>
      <c r="K838" s="28" t="s">
        <v>1052</v>
      </c>
      <c r="M838" s="28" t="s">
        <v>268</v>
      </c>
      <c r="N838" s="28" t="s">
        <v>774</v>
      </c>
      <c r="O838" s="28" t="s">
        <v>810</v>
      </c>
      <c r="P838" s="28" t="s">
        <v>246</v>
      </c>
      <c r="Q838" s="28" t="s">
        <v>1457</v>
      </c>
    </row>
    <row r="839" spans="5:18" x14ac:dyDescent="0.25">
      <c r="K839" s="28" t="s">
        <v>1059</v>
      </c>
      <c r="N839" s="28" t="s">
        <v>775</v>
      </c>
      <c r="O839" s="28" t="s">
        <v>811</v>
      </c>
      <c r="P839" s="28" t="s">
        <v>256</v>
      </c>
      <c r="R839" s="28" t="s">
        <v>689</v>
      </c>
    </row>
    <row r="840" spans="5:18" x14ac:dyDescent="0.25">
      <c r="E840" s="28" t="s">
        <v>512</v>
      </c>
      <c r="H840" s="28" t="s">
        <v>687</v>
      </c>
      <c r="J840" s="28" t="s">
        <v>419</v>
      </c>
      <c r="M840" s="28" t="s">
        <v>269</v>
      </c>
      <c r="O840" s="28" t="s">
        <v>812</v>
      </c>
      <c r="Q840" s="28" t="s">
        <v>803</v>
      </c>
    </row>
    <row r="841" spans="5:18" x14ac:dyDescent="0.25">
      <c r="H841" s="28" t="s">
        <v>710</v>
      </c>
      <c r="J841" s="28" t="s">
        <v>419</v>
      </c>
      <c r="K841" s="28" t="s">
        <v>858</v>
      </c>
      <c r="M841" s="28" t="s">
        <v>270</v>
      </c>
      <c r="N841" s="28" t="s">
        <v>776</v>
      </c>
      <c r="O841" s="28" t="s">
        <v>809</v>
      </c>
      <c r="P841" s="28" t="s">
        <v>265</v>
      </c>
      <c r="Q841" s="28" t="s">
        <v>346</v>
      </c>
      <c r="R841" s="28" t="s">
        <v>1486</v>
      </c>
    </row>
    <row r="842" spans="5:18" x14ac:dyDescent="0.25">
      <c r="E842" s="28" t="s">
        <v>424</v>
      </c>
      <c r="J842" s="28" t="s">
        <v>419</v>
      </c>
      <c r="K842" s="28" t="s">
        <v>858</v>
      </c>
      <c r="M842" s="28" t="s">
        <v>268</v>
      </c>
      <c r="N842" s="28" t="s">
        <v>777</v>
      </c>
      <c r="O842" s="28" t="s">
        <v>813</v>
      </c>
      <c r="P842" s="28" t="s">
        <v>266</v>
      </c>
    </row>
    <row r="843" spans="5:18" x14ac:dyDescent="0.25">
      <c r="E843" s="28" t="s">
        <v>232</v>
      </c>
      <c r="H843" s="28" t="s">
        <v>886</v>
      </c>
      <c r="J843" s="28" t="s">
        <v>419</v>
      </c>
      <c r="K843" s="28" t="s">
        <v>859</v>
      </c>
      <c r="M843" s="28" t="s">
        <v>267</v>
      </c>
      <c r="N843" s="28" t="s">
        <v>778</v>
      </c>
      <c r="O843" s="28" t="s">
        <v>811</v>
      </c>
      <c r="P843" s="28" t="s">
        <v>267</v>
      </c>
      <c r="Q843" s="28" t="s">
        <v>804</v>
      </c>
      <c r="R843" s="28" t="s">
        <v>1486</v>
      </c>
    </row>
    <row r="844" spans="5:18" x14ac:dyDescent="0.25">
      <c r="K844" s="28" t="s">
        <v>858</v>
      </c>
      <c r="M844" s="28" t="s">
        <v>269</v>
      </c>
      <c r="N844" s="28" t="s">
        <v>779</v>
      </c>
      <c r="O844" s="28" t="s">
        <v>814</v>
      </c>
      <c r="P844" s="28" t="s">
        <v>268</v>
      </c>
    </row>
    <row r="845" spans="5:18" x14ac:dyDescent="0.25">
      <c r="E845" s="28" t="s">
        <v>518</v>
      </c>
      <c r="H845" s="28" t="s">
        <v>205</v>
      </c>
      <c r="J845" s="28" t="s">
        <v>452</v>
      </c>
      <c r="K845" s="28" t="s">
        <v>858</v>
      </c>
      <c r="M845" s="28" t="s">
        <v>265</v>
      </c>
      <c r="O845" s="28" t="s">
        <v>815</v>
      </c>
      <c r="Q845" s="28" t="s">
        <v>805</v>
      </c>
      <c r="R845" s="28" t="s">
        <v>1377</v>
      </c>
    </row>
    <row r="846" spans="5:18" x14ac:dyDescent="0.25">
      <c r="J846" s="28" t="s">
        <v>452</v>
      </c>
      <c r="K846" s="28" t="s">
        <v>858</v>
      </c>
      <c r="M846" s="28" t="s">
        <v>254</v>
      </c>
      <c r="N846" s="28" t="s">
        <v>972</v>
      </c>
      <c r="O846" s="28" t="s">
        <v>809</v>
      </c>
      <c r="P846" s="28" t="s">
        <v>269</v>
      </c>
      <c r="R846" s="28" t="s">
        <v>705</v>
      </c>
    </row>
    <row r="847" spans="5:18" x14ac:dyDescent="0.25">
      <c r="E847" s="28" t="s">
        <v>424</v>
      </c>
      <c r="H847" s="28" t="s">
        <v>887</v>
      </c>
      <c r="J847" s="28" t="s">
        <v>452</v>
      </c>
      <c r="O847" s="28" t="s">
        <v>816</v>
      </c>
      <c r="P847" s="28" t="s">
        <v>270</v>
      </c>
      <c r="Q847" s="28" t="s">
        <v>363</v>
      </c>
      <c r="R847" s="28" t="s">
        <v>1478</v>
      </c>
    </row>
    <row r="848" spans="5:18" x14ac:dyDescent="0.25">
      <c r="H848" s="28" t="s">
        <v>888</v>
      </c>
      <c r="J848" s="28" t="s">
        <v>452</v>
      </c>
      <c r="K848" s="28" t="s">
        <v>500</v>
      </c>
      <c r="M848" s="28" t="s">
        <v>271</v>
      </c>
      <c r="N848" s="28" t="s">
        <v>972</v>
      </c>
      <c r="P848" s="28" t="s">
        <v>268</v>
      </c>
    </row>
    <row r="849" spans="5:18" x14ac:dyDescent="0.25">
      <c r="E849" s="28" t="s">
        <v>234</v>
      </c>
      <c r="H849" s="28" t="s">
        <v>714</v>
      </c>
      <c r="K849" s="28" t="s">
        <v>500</v>
      </c>
      <c r="O849" s="28" t="s">
        <v>909</v>
      </c>
      <c r="P849" s="28" t="s">
        <v>267</v>
      </c>
      <c r="Q849" s="28" t="s">
        <v>160</v>
      </c>
      <c r="R849" s="28" t="s">
        <v>954</v>
      </c>
    </row>
    <row r="850" spans="5:18" x14ac:dyDescent="0.25">
      <c r="J850" s="28" t="s">
        <v>878</v>
      </c>
      <c r="K850" s="28" t="s">
        <v>500</v>
      </c>
      <c r="M850" s="28" t="s">
        <v>273</v>
      </c>
      <c r="N850" s="28" t="s">
        <v>972</v>
      </c>
      <c r="O850" s="28" t="s">
        <v>910</v>
      </c>
      <c r="P850" s="28" t="s">
        <v>269</v>
      </c>
    </row>
    <row r="851" spans="5:18" x14ac:dyDescent="0.25">
      <c r="E851" s="28" t="s">
        <v>482</v>
      </c>
      <c r="H851" s="28" t="s">
        <v>889</v>
      </c>
      <c r="J851" s="28" t="s">
        <v>705</v>
      </c>
      <c r="K851" s="28" t="s">
        <v>500</v>
      </c>
      <c r="M851" s="28" t="s">
        <v>274</v>
      </c>
      <c r="P851" s="28" t="s">
        <v>265</v>
      </c>
      <c r="Q851" s="28" t="s">
        <v>545</v>
      </c>
      <c r="R851" s="28" t="s">
        <v>1379</v>
      </c>
    </row>
    <row r="852" spans="5:18" x14ac:dyDescent="0.25">
      <c r="H852" s="28" t="s">
        <v>714</v>
      </c>
      <c r="J852" s="28" t="s">
        <v>988</v>
      </c>
      <c r="K852" s="28" t="s">
        <v>500</v>
      </c>
      <c r="M852" s="28" t="s">
        <v>266</v>
      </c>
      <c r="N852" s="28" t="s">
        <v>781</v>
      </c>
      <c r="O852" s="28" t="s">
        <v>810</v>
      </c>
      <c r="P852" s="28" t="s">
        <v>254</v>
      </c>
      <c r="R852" s="28" t="s">
        <v>1380</v>
      </c>
    </row>
    <row r="853" spans="5:18" x14ac:dyDescent="0.25">
      <c r="E853" s="28" t="s">
        <v>519</v>
      </c>
      <c r="K853" s="28" t="s">
        <v>500</v>
      </c>
      <c r="M853" s="28" t="s">
        <v>275</v>
      </c>
      <c r="Q853" s="28" t="s">
        <v>808</v>
      </c>
    </row>
    <row r="854" spans="5:18" x14ac:dyDescent="0.25">
      <c r="H854" s="28" t="s">
        <v>673</v>
      </c>
      <c r="J854" s="28" t="s">
        <v>879</v>
      </c>
      <c r="N854" s="28" t="s">
        <v>782</v>
      </c>
      <c r="O854" s="28" t="s">
        <v>811</v>
      </c>
      <c r="P854" s="28" t="s">
        <v>271</v>
      </c>
      <c r="R854" s="28" t="s">
        <v>160</v>
      </c>
    </row>
    <row r="855" spans="5:18" x14ac:dyDescent="0.25">
      <c r="E855" s="28" t="s">
        <v>424</v>
      </c>
      <c r="K855" s="28" t="s">
        <v>861</v>
      </c>
      <c r="M855" s="28" t="s">
        <v>1151</v>
      </c>
      <c r="O855" s="28" t="s">
        <v>820</v>
      </c>
      <c r="Q855" s="28" t="s">
        <v>1371</v>
      </c>
      <c r="R855" s="28" t="s">
        <v>545</v>
      </c>
    </row>
    <row r="856" spans="5:18" x14ac:dyDescent="0.25">
      <c r="H856" s="28" t="s">
        <v>160</v>
      </c>
      <c r="J856" s="28" t="s">
        <v>880</v>
      </c>
      <c r="K856" s="28" t="s">
        <v>497</v>
      </c>
      <c r="N856" s="28" t="s">
        <v>160</v>
      </c>
      <c r="O856" s="28" t="s">
        <v>821</v>
      </c>
      <c r="P856" s="28" t="s">
        <v>273</v>
      </c>
      <c r="Q856" s="28" t="s">
        <v>194</v>
      </c>
      <c r="R856" s="28" t="s">
        <v>212</v>
      </c>
    </row>
    <row r="857" spans="5:18" x14ac:dyDescent="0.25">
      <c r="E857" s="28" t="s">
        <v>236</v>
      </c>
      <c r="J857" s="28" t="s">
        <v>881</v>
      </c>
      <c r="K857" s="28" t="s">
        <v>497</v>
      </c>
      <c r="M857" s="28" t="s">
        <v>891</v>
      </c>
      <c r="P857" s="28" t="s">
        <v>274</v>
      </c>
      <c r="R857" s="28" t="s">
        <v>160</v>
      </c>
    </row>
    <row r="858" spans="5:18" x14ac:dyDescent="0.25">
      <c r="H858" s="28" t="s">
        <v>890</v>
      </c>
      <c r="J858" s="28" t="s">
        <v>882</v>
      </c>
      <c r="K858" s="28" t="s">
        <v>862</v>
      </c>
      <c r="M858" s="28" t="s">
        <v>892</v>
      </c>
      <c r="N858" s="28" t="s">
        <v>783</v>
      </c>
      <c r="O858" s="28" t="s">
        <v>811</v>
      </c>
      <c r="P858" s="28" t="s">
        <v>266</v>
      </c>
      <c r="Q858" s="28" t="s">
        <v>190</v>
      </c>
    </row>
    <row r="859" spans="5:18" x14ac:dyDescent="0.25">
      <c r="E859" s="28" t="s">
        <v>408</v>
      </c>
      <c r="K859" s="28" t="s">
        <v>497</v>
      </c>
      <c r="O859" s="28" t="s">
        <v>822</v>
      </c>
      <c r="P859" s="28" t="s">
        <v>275</v>
      </c>
      <c r="R859" s="28" t="s">
        <v>1379</v>
      </c>
    </row>
    <row r="860" spans="5:18" x14ac:dyDescent="0.25">
      <c r="H860" s="28" t="s">
        <v>673</v>
      </c>
      <c r="J860" s="28" t="s">
        <v>883</v>
      </c>
      <c r="K860" s="28" t="s">
        <v>497</v>
      </c>
      <c r="M860" s="28" t="s">
        <v>779</v>
      </c>
      <c r="N860" s="28" t="s">
        <v>545</v>
      </c>
      <c r="O860" s="28" t="s">
        <v>811</v>
      </c>
      <c r="Q860" s="28" t="s">
        <v>1377</v>
      </c>
      <c r="R860" s="28" t="s">
        <v>1380</v>
      </c>
    </row>
    <row r="861" spans="5:18" x14ac:dyDescent="0.25">
      <c r="E861" s="28" t="s">
        <v>558</v>
      </c>
      <c r="K861" s="28" t="s">
        <v>497</v>
      </c>
      <c r="M861" s="28" t="s">
        <v>778</v>
      </c>
      <c r="P861" s="28" t="s">
        <v>365</v>
      </c>
      <c r="Q861" s="28" t="s">
        <v>705</v>
      </c>
    </row>
    <row r="862" spans="5:18" x14ac:dyDescent="0.25">
      <c r="H862" s="28" t="s">
        <v>419</v>
      </c>
      <c r="J862" s="28" t="s">
        <v>884</v>
      </c>
      <c r="N862" s="28" t="s">
        <v>622</v>
      </c>
      <c r="O862" s="28" t="s">
        <v>911</v>
      </c>
      <c r="Q862" s="28" t="s">
        <v>1396</v>
      </c>
      <c r="R862" s="28" t="s">
        <v>891</v>
      </c>
    </row>
    <row r="863" spans="5:18" x14ac:dyDescent="0.25">
      <c r="E863" s="28" t="s">
        <v>486</v>
      </c>
      <c r="H863" s="28" t="s">
        <v>422</v>
      </c>
      <c r="K863" s="28" t="s">
        <v>722</v>
      </c>
      <c r="M863" s="28" t="s">
        <v>1163</v>
      </c>
      <c r="N863" s="28" t="s">
        <v>623</v>
      </c>
      <c r="R863" s="28" t="s">
        <v>892</v>
      </c>
    </row>
    <row r="864" spans="5:18" x14ac:dyDescent="0.25">
      <c r="H864" s="28" t="s">
        <v>545</v>
      </c>
      <c r="J864" s="28" t="s">
        <v>885</v>
      </c>
      <c r="K864" s="28" t="s">
        <v>722</v>
      </c>
      <c r="N864" s="28" t="s">
        <v>624</v>
      </c>
      <c r="O864" s="28" t="s">
        <v>823</v>
      </c>
      <c r="Q864" s="28" t="s">
        <v>1372</v>
      </c>
    </row>
    <row r="865" spans="5:18" x14ac:dyDescent="0.25">
      <c r="E865" s="28" t="s">
        <v>559</v>
      </c>
      <c r="K865" s="28" t="s">
        <v>1077</v>
      </c>
      <c r="M865" s="28" t="s">
        <v>785</v>
      </c>
      <c r="N865" s="28" t="s">
        <v>625</v>
      </c>
      <c r="O865" s="28" t="s">
        <v>809</v>
      </c>
      <c r="R865" s="28" t="s">
        <v>779</v>
      </c>
    </row>
    <row r="866" spans="5:18" x14ac:dyDescent="0.25">
      <c r="H866" s="28" t="s">
        <v>891</v>
      </c>
      <c r="J866" s="28" t="s">
        <v>687</v>
      </c>
      <c r="K866" s="28" t="s">
        <v>1076</v>
      </c>
      <c r="N866" s="28" t="s">
        <v>626</v>
      </c>
      <c r="O866" s="28" t="s">
        <v>826</v>
      </c>
      <c r="Q866" s="28" t="s">
        <v>885</v>
      </c>
      <c r="R866" s="28" t="s">
        <v>778</v>
      </c>
    </row>
    <row r="867" spans="5:18" x14ac:dyDescent="0.25">
      <c r="E867" s="28" t="s">
        <v>486</v>
      </c>
      <c r="H867" s="28" t="s">
        <v>892</v>
      </c>
      <c r="J867" s="28" t="s">
        <v>1008</v>
      </c>
      <c r="K867" s="28" t="s">
        <v>593</v>
      </c>
      <c r="M867" s="28" t="s">
        <v>894</v>
      </c>
      <c r="N867" s="28" t="s">
        <v>627</v>
      </c>
    </row>
    <row r="868" spans="5:18" x14ac:dyDescent="0.25">
      <c r="K868" s="28" t="s">
        <v>593</v>
      </c>
      <c r="N868" s="28" t="s">
        <v>628</v>
      </c>
      <c r="O868" s="28" t="s">
        <v>827</v>
      </c>
      <c r="Q868" s="28" t="s">
        <v>1373</v>
      </c>
      <c r="R868" s="28" t="s">
        <v>1513</v>
      </c>
    </row>
    <row r="869" spans="5:18" x14ac:dyDescent="0.25">
      <c r="E869" s="28" t="s">
        <v>560</v>
      </c>
      <c r="H869" s="28" t="s">
        <v>779</v>
      </c>
      <c r="J869" s="28" t="s">
        <v>886</v>
      </c>
      <c r="M869" s="28" t="s">
        <v>895</v>
      </c>
      <c r="N869" s="28" t="s">
        <v>629</v>
      </c>
      <c r="O869" s="28" t="s">
        <v>823</v>
      </c>
    </row>
    <row r="870" spans="5:18" x14ac:dyDescent="0.25">
      <c r="H870" s="28" t="s">
        <v>778</v>
      </c>
      <c r="K870" s="28" t="s">
        <v>722</v>
      </c>
      <c r="N870" s="28" t="s">
        <v>630</v>
      </c>
      <c r="O870" s="28" t="s">
        <v>809</v>
      </c>
      <c r="Q870" s="28" t="s">
        <v>687</v>
      </c>
      <c r="R870" s="28" t="s">
        <v>77</v>
      </c>
    </row>
    <row r="871" spans="5:18" x14ac:dyDescent="0.25">
      <c r="E871" s="28" t="s">
        <v>486</v>
      </c>
      <c r="J871" s="28" t="s">
        <v>205</v>
      </c>
      <c r="K871" s="28" t="s">
        <v>722</v>
      </c>
      <c r="M871" s="28" t="s">
        <v>896</v>
      </c>
      <c r="N871" s="28" t="s">
        <v>631</v>
      </c>
      <c r="Q871" s="28" t="s">
        <v>1432</v>
      </c>
    </row>
    <row r="872" spans="5:18" x14ac:dyDescent="0.25">
      <c r="H872" s="28" t="s">
        <v>893</v>
      </c>
      <c r="K872" s="28" t="s">
        <v>1077</v>
      </c>
      <c r="N872" s="28" t="s">
        <v>632</v>
      </c>
      <c r="O872" s="28" t="s">
        <v>912</v>
      </c>
      <c r="R872" s="28" t="s">
        <v>1512</v>
      </c>
    </row>
    <row r="873" spans="5:18" x14ac:dyDescent="0.25">
      <c r="E873" s="28" t="s">
        <v>561</v>
      </c>
      <c r="J873" s="28" t="s">
        <v>887</v>
      </c>
      <c r="K873" s="28" t="s">
        <v>1076</v>
      </c>
      <c r="M873" s="28" t="s">
        <v>897</v>
      </c>
      <c r="N873" s="28" t="s">
        <v>633</v>
      </c>
      <c r="Q873" s="28" t="s">
        <v>1374</v>
      </c>
    </row>
    <row r="874" spans="5:18" x14ac:dyDescent="0.25">
      <c r="H874" s="28" t="s">
        <v>785</v>
      </c>
      <c r="J874" s="28" t="s">
        <v>888</v>
      </c>
      <c r="K874" s="28" t="s">
        <v>593</v>
      </c>
      <c r="N874" s="28" t="s">
        <v>634</v>
      </c>
      <c r="O874" s="28" t="s">
        <v>810</v>
      </c>
      <c r="Q874" s="28" t="s">
        <v>882</v>
      </c>
      <c r="R874" s="28" t="s">
        <v>786</v>
      </c>
    </row>
    <row r="875" spans="5:18" x14ac:dyDescent="0.25">
      <c r="E875" s="28" t="s">
        <v>556</v>
      </c>
      <c r="J875" s="28" t="s">
        <v>1010</v>
      </c>
      <c r="K875" s="28" t="s">
        <v>593</v>
      </c>
      <c r="M875" s="28" t="s">
        <v>898</v>
      </c>
      <c r="N875" s="28" t="s">
        <v>635</v>
      </c>
      <c r="O875" s="28" t="s">
        <v>818</v>
      </c>
    </row>
    <row r="876" spans="5:18" x14ac:dyDescent="0.25">
      <c r="H876" s="28" t="s">
        <v>894</v>
      </c>
      <c r="N876" s="28" t="s">
        <v>636</v>
      </c>
      <c r="Q876" s="28" t="s">
        <v>1402</v>
      </c>
      <c r="R876" s="28" t="s">
        <v>1383</v>
      </c>
    </row>
    <row r="877" spans="5:18" x14ac:dyDescent="0.25">
      <c r="E877" s="28" t="s">
        <v>562</v>
      </c>
      <c r="J877" s="28" t="s">
        <v>889</v>
      </c>
      <c r="K877" s="28" t="s">
        <v>843</v>
      </c>
      <c r="M877" s="28" t="s">
        <v>899</v>
      </c>
      <c r="O877" s="28" t="s">
        <v>265</v>
      </c>
      <c r="R877" s="28" t="s">
        <v>1497</v>
      </c>
    </row>
    <row r="878" spans="5:18" x14ac:dyDescent="0.25">
      <c r="H878" s="28" t="s">
        <v>895</v>
      </c>
      <c r="J878" s="28" t="s">
        <v>1010</v>
      </c>
      <c r="K878" s="28" t="s">
        <v>844</v>
      </c>
      <c r="N878" s="28" t="s">
        <v>637</v>
      </c>
      <c r="O878" s="28" t="s">
        <v>266</v>
      </c>
      <c r="Q878" s="28" t="s">
        <v>205</v>
      </c>
    </row>
    <row r="879" spans="5:18" x14ac:dyDescent="0.25">
      <c r="E879" s="28" t="s">
        <v>563</v>
      </c>
      <c r="K879" s="28" t="s">
        <v>870</v>
      </c>
      <c r="M879" s="28" t="s">
        <v>900</v>
      </c>
      <c r="N879" s="28" t="s">
        <v>638</v>
      </c>
      <c r="O879" s="28" t="s">
        <v>267</v>
      </c>
      <c r="R879" s="28" t="s">
        <v>326</v>
      </c>
    </row>
    <row r="880" spans="5:18" x14ac:dyDescent="0.25">
      <c r="H880" s="28" t="s">
        <v>896</v>
      </c>
      <c r="J880" s="28" t="s">
        <v>1004</v>
      </c>
      <c r="K880" s="28" t="s">
        <v>870</v>
      </c>
      <c r="N880" s="28" t="s">
        <v>639</v>
      </c>
      <c r="O880" s="28" t="s">
        <v>268</v>
      </c>
      <c r="Q880" s="28" t="s">
        <v>160</v>
      </c>
      <c r="R880" s="28" t="s">
        <v>327</v>
      </c>
    </row>
    <row r="881" spans="5:18" x14ac:dyDescent="0.25">
      <c r="E881" s="28" t="s">
        <v>558</v>
      </c>
      <c r="K881" s="28" t="s">
        <v>869</v>
      </c>
      <c r="M881" s="28" t="s">
        <v>901</v>
      </c>
      <c r="N881" s="28" t="s">
        <v>640</v>
      </c>
    </row>
    <row r="882" spans="5:18" x14ac:dyDescent="0.25">
      <c r="H882" s="28" t="s">
        <v>897</v>
      </c>
      <c r="J882" s="28" t="s">
        <v>160</v>
      </c>
      <c r="K882" s="28" t="s">
        <v>869</v>
      </c>
      <c r="N882" s="28" t="s">
        <v>641</v>
      </c>
      <c r="O882" s="28" t="s">
        <v>269</v>
      </c>
      <c r="Q882" s="28" t="s">
        <v>1375</v>
      </c>
      <c r="R882" s="28" t="s">
        <v>73</v>
      </c>
    </row>
    <row r="883" spans="5:18" x14ac:dyDescent="0.25">
      <c r="E883" s="28" t="s">
        <v>560</v>
      </c>
      <c r="K883" s="28" t="s">
        <v>870</v>
      </c>
      <c r="M883" s="28" t="s">
        <v>902</v>
      </c>
      <c r="N883" s="28" t="s">
        <v>642</v>
      </c>
      <c r="O883" s="28" t="s">
        <v>270</v>
      </c>
      <c r="Q883" s="28" t="s">
        <v>1376</v>
      </c>
    </row>
    <row r="884" spans="5:18" x14ac:dyDescent="0.25">
      <c r="H884" s="28" t="s">
        <v>898</v>
      </c>
      <c r="J884" s="28" t="s">
        <v>1035</v>
      </c>
      <c r="K884" s="28" t="s">
        <v>870</v>
      </c>
      <c r="N884" s="28" t="s">
        <v>643</v>
      </c>
      <c r="O884" s="28" t="s">
        <v>268</v>
      </c>
      <c r="R884" s="28" t="s">
        <v>906</v>
      </c>
    </row>
    <row r="885" spans="5:18" x14ac:dyDescent="0.25">
      <c r="E885" s="28" t="s">
        <v>486</v>
      </c>
      <c r="M885" s="28" t="s">
        <v>903</v>
      </c>
      <c r="N885" s="28" t="s">
        <v>644</v>
      </c>
      <c r="O885" s="28" t="s">
        <v>267</v>
      </c>
      <c r="Q885" s="28" t="s">
        <v>689</v>
      </c>
      <c r="R885" s="28" t="s">
        <v>350</v>
      </c>
    </row>
    <row r="886" spans="5:18" x14ac:dyDescent="0.25">
      <c r="H886" s="28" t="s">
        <v>899</v>
      </c>
      <c r="J886" s="28" t="s">
        <v>1004</v>
      </c>
      <c r="K886" s="28" t="s">
        <v>867</v>
      </c>
      <c r="N886" s="28" t="s">
        <v>645</v>
      </c>
      <c r="O886" s="28" t="s">
        <v>269</v>
      </c>
    </row>
    <row r="887" spans="5:18" x14ac:dyDescent="0.25">
      <c r="E887" s="28" t="s">
        <v>561</v>
      </c>
      <c r="K887" s="28" t="s">
        <v>868</v>
      </c>
      <c r="M887" s="28" t="s">
        <v>1164</v>
      </c>
      <c r="N887" s="28" t="s">
        <v>646</v>
      </c>
      <c r="O887" s="28" t="s">
        <v>265</v>
      </c>
      <c r="Q887" s="28" t="s">
        <v>1431</v>
      </c>
      <c r="R887" s="28" t="s">
        <v>244</v>
      </c>
    </row>
    <row r="888" spans="5:18" x14ac:dyDescent="0.25">
      <c r="H888" s="28" t="s">
        <v>900</v>
      </c>
      <c r="J888" s="28" t="s">
        <v>419</v>
      </c>
      <c r="K888" s="28" t="s">
        <v>870</v>
      </c>
      <c r="N888" s="28" t="s">
        <v>647</v>
      </c>
      <c r="O888" s="28" t="s">
        <v>254</v>
      </c>
    </row>
    <row r="889" spans="5:18" x14ac:dyDescent="0.25">
      <c r="E889" s="28" t="s">
        <v>564</v>
      </c>
      <c r="J889" s="28" t="s">
        <v>422</v>
      </c>
      <c r="K889" s="28" t="s">
        <v>870</v>
      </c>
      <c r="M889" s="28" t="s">
        <v>77</v>
      </c>
      <c r="N889" s="28" t="s">
        <v>648</v>
      </c>
      <c r="Q889" s="28" t="s">
        <v>1431</v>
      </c>
      <c r="R889" s="28" t="s">
        <v>1384</v>
      </c>
    </row>
    <row r="890" spans="5:18" x14ac:dyDescent="0.25">
      <c r="H890" s="28" t="s">
        <v>901</v>
      </c>
      <c r="J890" s="28" t="s">
        <v>160</v>
      </c>
      <c r="K890" s="28" t="s">
        <v>869</v>
      </c>
      <c r="N890" s="28" t="s">
        <v>649</v>
      </c>
      <c r="O890" s="28" t="s">
        <v>271</v>
      </c>
    </row>
    <row r="891" spans="5:18" x14ac:dyDescent="0.25">
      <c r="E891" s="28" t="s">
        <v>565</v>
      </c>
      <c r="J891" s="28" t="s">
        <v>160</v>
      </c>
      <c r="K891" s="28" t="s">
        <v>869</v>
      </c>
      <c r="M891" s="28" t="s">
        <v>972</v>
      </c>
      <c r="N891" s="28" t="s">
        <v>650</v>
      </c>
      <c r="Q891" s="28" t="s">
        <v>1006</v>
      </c>
      <c r="R891" s="28" t="s">
        <v>1385</v>
      </c>
    </row>
    <row r="892" spans="5:18" x14ac:dyDescent="0.25">
      <c r="H892" s="28" t="s">
        <v>902</v>
      </c>
      <c r="K892" s="28" t="s">
        <v>870</v>
      </c>
      <c r="N892" s="28" t="s">
        <v>651</v>
      </c>
      <c r="O892" s="28" t="s">
        <v>273</v>
      </c>
    </row>
    <row r="893" spans="5:18" x14ac:dyDescent="0.25">
      <c r="E893" s="28" t="s">
        <v>480</v>
      </c>
      <c r="J893" s="28" t="s">
        <v>891</v>
      </c>
      <c r="K893" s="28" t="s">
        <v>870</v>
      </c>
      <c r="M893" s="28" t="s">
        <v>905</v>
      </c>
      <c r="O893" s="28" t="s">
        <v>274</v>
      </c>
      <c r="Q893" s="28" t="s">
        <v>1402</v>
      </c>
      <c r="R893" s="28" t="s">
        <v>1386</v>
      </c>
    </row>
    <row r="894" spans="5:18" x14ac:dyDescent="0.25">
      <c r="E894" s="28" t="s">
        <v>244</v>
      </c>
      <c r="H894" s="28" t="s">
        <v>903</v>
      </c>
      <c r="J894" s="28" t="s">
        <v>892</v>
      </c>
      <c r="M894" s="28" t="s">
        <v>1158</v>
      </c>
      <c r="N894" s="28" t="s">
        <v>82</v>
      </c>
      <c r="O894" s="28" t="s">
        <v>266</v>
      </c>
    </row>
    <row r="895" spans="5:18" x14ac:dyDescent="0.25">
      <c r="K895" s="28" t="s">
        <v>452</v>
      </c>
      <c r="N895" s="28" t="s">
        <v>73</v>
      </c>
      <c r="O895" s="28" t="s">
        <v>275</v>
      </c>
      <c r="Q895" s="28" t="s">
        <v>419</v>
      </c>
      <c r="R895" s="28" t="s">
        <v>245</v>
      </c>
    </row>
    <row r="896" spans="5:18" x14ac:dyDescent="0.25">
      <c r="E896" s="28" t="s">
        <v>481</v>
      </c>
      <c r="H896" s="28" t="s">
        <v>77</v>
      </c>
      <c r="J896" s="28" t="s">
        <v>779</v>
      </c>
      <c r="K896" s="28" t="s">
        <v>452</v>
      </c>
      <c r="M896" s="28" t="s">
        <v>326</v>
      </c>
      <c r="N896" s="28" t="s">
        <v>43</v>
      </c>
      <c r="Q896" s="28" t="s">
        <v>243</v>
      </c>
      <c r="R896" s="28" t="s">
        <v>246</v>
      </c>
    </row>
    <row r="897" spans="5:18" x14ac:dyDescent="0.25">
      <c r="E897" s="28" t="s">
        <v>244</v>
      </c>
      <c r="J897" s="28" t="s">
        <v>778</v>
      </c>
      <c r="K897" s="28" t="s">
        <v>452</v>
      </c>
      <c r="M897" s="28" t="s">
        <v>899</v>
      </c>
      <c r="O897" s="28" t="s">
        <v>891</v>
      </c>
      <c r="Q897" s="28" t="s">
        <v>212</v>
      </c>
      <c r="R897" s="28" t="s">
        <v>247</v>
      </c>
    </row>
    <row r="898" spans="5:18" x14ac:dyDescent="0.25">
      <c r="H898" s="28" t="s">
        <v>904</v>
      </c>
      <c r="K898" s="28" t="s">
        <v>452</v>
      </c>
      <c r="N898" s="28" t="s">
        <v>784</v>
      </c>
      <c r="O898" s="28" t="s">
        <v>892</v>
      </c>
      <c r="R898" s="28" t="s">
        <v>248</v>
      </c>
    </row>
    <row r="899" spans="5:18" x14ac:dyDescent="0.25">
      <c r="E899" s="28" t="s">
        <v>449</v>
      </c>
      <c r="J899" s="28" t="s">
        <v>1036</v>
      </c>
      <c r="K899" s="28" t="s">
        <v>452</v>
      </c>
      <c r="M899" s="28" t="s">
        <v>82</v>
      </c>
      <c r="N899" s="28" t="s">
        <v>785</v>
      </c>
      <c r="Q899" s="28" t="s">
        <v>160</v>
      </c>
      <c r="R899" s="28" t="s">
        <v>245</v>
      </c>
    </row>
    <row r="900" spans="5:18" x14ac:dyDescent="0.25">
      <c r="H900" s="28" t="s">
        <v>780</v>
      </c>
      <c r="K900" s="28" t="s">
        <v>452</v>
      </c>
      <c r="O900" s="28" t="s">
        <v>779</v>
      </c>
      <c r="R900" s="28" t="s">
        <v>249</v>
      </c>
    </row>
    <row r="901" spans="5:18" x14ac:dyDescent="0.25">
      <c r="E901" s="28" t="s">
        <v>482</v>
      </c>
      <c r="J901" s="28" t="s">
        <v>785</v>
      </c>
      <c r="M901" s="28" t="s">
        <v>906</v>
      </c>
      <c r="N901" s="28" t="s">
        <v>972</v>
      </c>
      <c r="O901" s="28" t="s">
        <v>778</v>
      </c>
      <c r="Q901" s="28" t="s">
        <v>160</v>
      </c>
      <c r="R901" s="28" t="s">
        <v>247</v>
      </c>
    </row>
    <row r="902" spans="5:18" x14ac:dyDescent="0.25">
      <c r="H902" s="28" t="s">
        <v>905</v>
      </c>
      <c r="K902" s="28" t="s">
        <v>878</v>
      </c>
      <c r="M902" s="28" t="s">
        <v>907</v>
      </c>
      <c r="N902" s="28" t="s">
        <v>780</v>
      </c>
      <c r="R902" s="28" t="s">
        <v>250</v>
      </c>
    </row>
    <row r="903" spans="5:18" x14ac:dyDescent="0.25">
      <c r="E903" s="28" t="s">
        <v>244</v>
      </c>
      <c r="H903" s="28" t="s">
        <v>758</v>
      </c>
      <c r="J903" s="28" t="s">
        <v>894</v>
      </c>
      <c r="K903" s="28" t="s">
        <v>705</v>
      </c>
      <c r="N903" s="28" t="s">
        <v>786</v>
      </c>
      <c r="O903" s="28" t="s">
        <v>1320</v>
      </c>
      <c r="Q903" s="28" t="s">
        <v>676</v>
      </c>
      <c r="R903" s="28" t="s">
        <v>251</v>
      </c>
    </row>
    <row r="904" spans="5:18" x14ac:dyDescent="0.25">
      <c r="K904" s="28" t="s">
        <v>1056</v>
      </c>
      <c r="M904" s="28" t="s">
        <v>212</v>
      </c>
      <c r="Q904" s="28" t="s">
        <v>982</v>
      </c>
      <c r="R904" s="28" t="s">
        <v>245</v>
      </c>
    </row>
    <row r="905" spans="5:18" x14ac:dyDescent="0.25">
      <c r="E905" s="28" t="s">
        <v>244</v>
      </c>
      <c r="H905" s="28" t="s">
        <v>326</v>
      </c>
      <c r="J905" s="28" t="s">
        <v>895</v>
      </c>
      <c r="N905" s="28" t="s">
        <v>787</v>
      </c>
      <c r="O905" s="28" t="s">
        <v>785</v>
      </c>
      <c r="R905" s="28" t="s">
        <v>252</v>
      </c>
    </row>
    <row r="906" spans="5:18" x14ac:dyDescent="0.25">
      <c r="H906" s="28" t="s">
        <v>899</v>
      </c>
      <c r="K906" s="28" t="s">
        <v>879</v>
      </c>
      <c r="M906" s="28" t="s">
        <v>908</v>
      </c>
      <c r="Q906" s="28" t="s">
        <v>160</v>
      </c>
    </row>
    <row r="907" spans="5:18" x14ac:dyDescent="0.25">
      <c r="E907" s="28" t="s">
        <v>414</v>
      </c>
      <c r="J907" s="28" t="s">
        <v>896</v>
      </c>
      <c r="N907" s="28" t="s">
        <v>973</v>
      </c>
      <c r="O907" s="28" t="s">
        <v>894</v>
      </c>
      <c r="R907" s="28" t="s">
        <v>253</v>
      </c>
    </row>
    <row r="908" spans="5:18" x14ac:dyDescent="0.25">
      <c r="H908" s="28" t="s">
        <v>73</v>
      </c>
      <c r="K908" s="28" t="s">
        <v>880</v>
      </c>
      <c r="M908" s="28" t="s">
        <v>878</v>
      </c>
      <c r="N908" s="28" t="s">
        <v>973</v>
      </c>
      <c r="Q908" s="28" t="s">
        <v>442</v>
      </c>
    </row>
    <row r="909" spans="5:18" x14ac:dyDescent="0.25">
      <c r="E909" s="28" t="s">
        <v>449</v>
      </c>
      <c r="J909" s="28" t="s">
        <v>897</v>
      </c>
      <c r="K909" s="28" t="s">
        <v>881</v>
      </c>
      <c r="M909" s="28" t="s">
        <v>705</v>
      </c>
      <c r="N909" s="28" t="s">
        <v>973</v>
      </c>
      <c r="O909" s="28" t="s">
        <v>895</v>
      </c>
      <c r="R909" s="28" t="s">
        <v>254</v>
      </c>
    </row>
    <row r="910" spans="5:18" x14ac:dyDescent="0.25">
      <c r="H910" s="28" t="s">
        <v>906</v>
      </c>
      <c r="K910" s="28" t="s">
        <v>882</v>
      </c>
      <c r="M910" s="28" t="s">
        <v>1131</v>
      </c>
      <c r="Q910" s="28" t="s">
        <v>891</v>
      </c>
      <c r="R910" s="28" t="s">
        <v>255</v>
      </c>
    </row>
    <row r="911" spans="5:18" x14ac:dyDescent="0.25">
      <c r="E911" s="28" t="s">
        <v>212</v>
      </c>
      <c r="H911" s="28" t="s">
        <v>907</v>
      </c>
      <c r="J911" s="28" t="s">
        <v>898</v>
      </c>
      <c r="N911" s="28" t="s">
        <v>789</v>
      </c>
      <c r="O911" s="28" t="s">
        <v>896</v>
      </c>
      <c r="Q911" s="28" t="s">
        <v>892</v>
      </c>
      <c r="R911" s="28" t="s">
        <v>248</v>
      </c>
    </row>
    <row r="912" spans="5:18" x14ac:dyDescent="0.25">
      <c r="K912" s="28" t="s">
        <v>883</v>
      </c>
      <c r="M912" s="28" t="s">
        <v>914</v>
      </c>
      <c r="R912" s="28" t="s">
        <v>246</v>
      </c>
    </row>
    <row r="913" spans="5:18" x14ac:dyDescent="0.25">
      <c r="E913" s="28" t="s">
        <v>508</v>
      </c>
      <c r="H913" s="28" t="s">
        <v>212</v>
      </c>
      <c r="J913" s="28" t="s">
        <v>899</v>
      </c>
      <c r="N913" s="28" t="s">
        <v>777</v>
      </c>
      <c r="O913" s="28" t="s">
        <v>897</v>
      </c>
      <c r="Q913" s="28" t="s">
        <v>779</v>
      </c>
      <c r="R913" s="28" t="s">
        <v>256</v>
      </c>
    </row>
    <row r="914" spans="5:18" x14ac:dyDescent="0.25">
      <c r="K914" s="28" t="s">
        <v>884</v>
      </c>
      <c r="M914" s="28" t="s">
        <v>880</v>
      </c>
      <c r="N914" s="28" t="s">
        <v>777</v>
      </c>
      <c r="Q914" s="28" t="s">
        <v>778</v>
      </c>
    </row>
    <row r="915" spans="5:18" x14ac:dyDescent="0.25">
      <c r="E915" s="28" t="s">
        <v>509</v>
      </c>
      <c r="H915" s="28" t="s">
        <v>908</v>
      </c>
      <c r="J915" s="28" t="s">
        <v>900</v>
      </c>
      <c r="M915" s="28" t="s">
        <v>881</v>
      </c>
      <c r="N915" s="28" t="s">
        <v>777</v>
      </c>
      <c r="O915" s="28" t="s">
        <v>898</v>
      </c>
      <c r="R915" s="28" t="s">
        <v>254</v>
      </c>
    </row>
    <row r="916" spans="5:18" x14ac:dyDescent="0.25">
      <c r="K916" s="28" t="s">
        <v>885</v>
      </c>
      <c r="M916" s="28" t="s">
        <v>882</v>
      </c>
      <c r="Q916" s="28" t="s">
        <v>1458</v>
      </c>
      <c r="R916" s="28" t="s">
        <v>255</v>
      </c>
    </row>
    <row r="917" spans="5:18" x14ac:dyDescent="0.25">
      <c r="E917" s="28" t="s">
        <v>515</v>
      </c>
      <c r="H917" s="28" t="s">
        <v>809</v>
      </c>
      <c r="J917" s="28" t="s">
        <v>901</v>
      </c>
      <c r="N917" s="28" t="s">
        <v>790</v>
      </c>
      <c r="O917" s="28" t="s">
        <v>899</v>
      </c>
    </row>
    <row r="918" spans="5:18" x14ac:dyDescent="0.25">
      <c r="H918" s="28" t="s">
        <v>810</v>
      </c>
      <c r="K918" s="28" t="s">
        <v>687</v>
      </c>
      <c r="M918" s="28" t="s">
        <v>883</v>
      </c>
      <c r="N918" s="28" t="s">
        <v>791</v>
      </c>
      <c r="Q918" s="28" t="s">
        <v>77</v>
      </c>
      <c r="R918" s="28" t="s">
        <v>257</v>
      </c>
    </row>
    <row r="919" spans="5:18" x14ac:dyDescent="0.25">
      <c r="E919" s="28" t="s">
        <v>516</v>
      </c>
      <c r="H919" s="28" t="s">
        <v>811</v>
      </c>
      <c r="J919" s="28" t="s">
        <v>902</v>
      </c>
      <c r="K919" s="28" t="s">
        <v>1074</v>
      </c>
      <c r="O919" s="28" t="s">
        <v>900</v>
      </c>
      <c r="R919" s="28" t="s">
        <v>247</v>
      </c>
    </row>
    <row r="920" spans="5:18" x14ac:dyDescent="0.25">
      <c r="H920" s="28" t="s">
        <v>812</v>
      </c>
      <c r="M920" s="28" t="s">
        <v>884</v>
      </c>
      <c r="N920" s="28" t="s">
        <v>792</v>
      </c>
      <c r="Q920" s="28" t="s">
        <v>1459</v>
      </c>
      <c r="R920" s="28" t="s">
        <v>258</v>
      </c>
    </row>
    <row r="921" spans="5:18" x14ac:dyDescent="0.25">
      <c r="E921" s="28" t="s">
        <v>522</v>
      </c>
      <c r="H921" s="28" t="s">
        <v>809</v>
      </c>
      <c r="J921" s="28" t="s">
        <v>903</v>
      </c>
      <c r="K921" s="28" t="s">
        <v>886</v>
      </c>
      <c r="N921" s="28" t="s">
        <v>792</v>
      </c>
      <c r="O921" s="28" t="s">
        <v>901</v>
      </c>
      <c r="R921" s="28" t="s">
        <v>259</v>
      </c>
    </row>
    <row r="922" spans="5:18" x14ac:dyDescent="0.25">
      <c r="H922" s="28" t="s">
        <v>813</v>
      </c>
      <c r="M922" s="28" t="s">
        <v>885</v>
      </c>
      <c r="N922" s="28" t="s">
        <v>792</v>
      </c>
      <c r="Q922" s="28" t="s">
        <v>786</v>
      </c>
    </row>
    <row r="923" spans="5:18" x14ac:dyDescent="0.25">
      <c r="E923" s="28" t="s">
        <v>521</v>
      </c>
      <c r="H923" s="28" t="s">
        <v>811</v>
      </c>
      <c r="J923" s="28" t="s">
        <v>77</v>
      </c>
      <c r="K923" s="28" t="s">
        <v>205</v>
      </c>
      <c r="O923" s="28" t="s">
        <v>902</v>
      </c>
      <c r="R923" s="28" t="s">
        <v>247</v>
      </c>
    </row>
    <row r="924" spans="5:18" x14ac:dyDescent="0.25">
      <c r="H924" s="28" t="s">
        <v>814</v>
      </c>
      <c r="M924" s="28" t="s">
        <v>687</v>
      </c>
      <c r="N924" s="28" t="s">
        <v>779</v>
      </c>
      <c r="Q924" s="28" t="s">
        <v>1383</v>
      </c>
      <c r="R924" s="28" t="s">
        <v>260</v>
      </c>
    </row>
    <row r="925" spans="5:18" x14ac:dyDescent="0.25">
      <c r="E925" s="28" t="s">
        <v>523</v>
      </c>
      <c r="H925" s="28" t="s">
        <v>815</v>
      </c>
      <c r="J925" s="28" t="s">
        <v>904</v>
      </c>
      <c r="K925" s="28" t="s">
        <v>887</v>
      </c>
      <c r="M925" s="28" t="s">
        <v>711</v>
      </c>
      <c r="N925" s="28" t="s">
        <v>779</v>
      </c>
      <c r="O925" s="28" t="s">
        <v>903</v>
      </c>
      <c r="Q925" s="28" t="s">
        <v>1445</v>
      </c>
      <c r="R925" s="28" t="s">
        <v>247</v>
      </c>
    </row>
    <row r="926" spans="5:18" x14ac:dyDescent="0.25">
      <c r="H926" s="28" t="s">
        <v>809</v>
      </c>
      <c r="K926" s="28" t="s">
        <v>888</v>
      </c>
      <c r="N926" s="28" t="s">
        <v>779</v>
      </c>
      <c r="R926" s="28" t="s">
        <v>261</v>
      </c>
    </row>
    <row r="927" spans="5:18" x14ac:dyDescent="0.25">
      <c r="E927" s="28" t="s">
        <v>411</v>
      </c>
      <c r="H927" s="28" t="s">
        <v>816</v>
      </c>
      <c r="J927" s="28" t="s">
        <v>780</v>
      </c>
      <c r="K927" s="28" t="s">
        <v>1078</v>
      </c>
      <c r="M927" s="28" t="s">
        <v>886</v>
      </c>
      <c r="O927" s="28" t="s">
        <v>1321</v>
      </c>
      <c r="Q927" s="28" t="s">
        <v>326</v>
      </c>
      <c r="R927" s="28" t="s">
        <v>254</v>
      </c>
    </row>
    <row r="928" spans="5:18" x14ac:dyDescent="0.25">
      <c r="N928" s="28" t="s">
        <v>793</v>
      </c>
      <c r="Q928" s="28" t="s">
        <v>327</v>
      </c>
    </row>
    <row r="929" spans="5:18" x14ac:dyDescent="0.25">
      <c r="E929" s="28" t="s">
        <v>390</v>
      </c>
      <c r="H929" s="28" t="s">
        <v>909</v>
      </c>
      <c r="J929" s="28" t="s">
        <v>905</v>
      </c>
      <c r="K929" s="28" t="s">
        <v>889</v>
      </c>
      <c r="M929" s="28" t="s">
        <v>205</v>
      </c>
      <c r="N929" s="28" t="s">
        <v>794</v>
      </c>
      <c r="O929" s="28" t="s">
        <v>77</v>
      </c>
      <c r="R929" s="28" t="s">
        <v>262</v>
      </c>
    </row>
    <row r="930" spans="5:18" x14ac:dyDescent="0.25">
      <c r="H930" s="28" t="s">
        <v>910</v>
      </c>
      <c r="J930" s="28" t="s">
        <v>1017</v>
      </c>
      <c r="K930" s="28" t="s">
        <v>1078</v>
      </c>
      <c r="Q930" s="28" t="s">
        <v>73</v>
      </c>
    </row>
    <row r="931" spans="5:18" x14ac:dyDescent="0.25">
      <c r="E931" s="28" t="s">
        <v>412</v>
      </c>
      <c r="M931" s="28" t="s">
        <v>887</v>
      </c>
      <c r="N931" s="28" t="s">
        <v>795</v>
      </c>
      <c r="O931" s="28" t="s">
        <v>972</v>
      </c>
      <c r="R931" s="28" t="s">
        <v>254</v>
      </c>
    </row>
    <row r="932" spans="5:18" x14ac:dyDescent="0.25">
      <c r="E932" s="28" t="s">
        <v>413</v>
      </c>
      <c r="H932" s="28" t="s">
        <v>810</v>
      </c>
      <c r="J932" s="28" t="s">
        <v>326</v>
      </c>
      <c r="K932" s="28" t="s">
        <v>1066</v>
      </c>
      <c r="M932" s="28" t="s">
        <v>888</v>
      </c>
      <c r="N932" s="28" t="s">
        <v>796</v>
      </c>
      <c r="Q932" s="28" t="s">
        <v>906</v>
      </c>
      <c r="R932" s="28" t="s">
        <v>255</v>
      </c>
    </row>
    <row r="933" spans="5:18" x14ac:dyDescent="0.25">
      <c r="E933" s="28" t="s">
        <v>486</v>
      </c>
      <c r="J933" s="28" t="s">
        <v>899</v>
      </c>
      <c r="M933" s="28" t="s">
        <v>1153</v>
      </c>
      <c r="O933" s="28" t="s">
        <v>905</v>
      </c>
      <c r="Q933" s="28" t="s">
        <v>350</v>
      </c>
      <c r="R933" s="28" t="s">
        <v>263</v>
      </c>
    </row>
    <row r="934" spans="5:18" x14ac:dyDescent="0.25">
      <c r="H934" s="28" t="s">
        <v>811</v>
      </c>
      <c r="K934" s="28" t="s">
        <v>160</v>
      </c>
      <c r="N934" s="28" t="s">
        <v>341</v>
      </c>
      <c r="O934" s="28" t="s">
        <v>1293</v>
      </c>
      <c r="R934" s="28" t="s">
        <v>261</v>
      </c>
    </row>
    <row r="935" spans="5:18" x14ac:dyDescent="0.25">
      <c r="E935" s="28" t="s">
        <v>486</v>
      </c>
      <c r="H935" s="28" t="s">
        <v>820</v>
      </c>
      <c r="J935" s="28" t="s">
        <v>73</v>
      </c>
      <c r="M935" s="28" t="s">
        <v>889</v>
      </c>
      <c r="N935" s="28" t="s">
        <v>797</v>
      </c>
      <c r="Q935" s="28" t="s">
        <v>212</v>
      </c>
      <c r="R935" s="28" t="s">
        <v>245</v>
      </c>
    </row>
    <row r="936" spans="5:18" x14ac:dyDescent="0.25">
      <c r="H936" s="28" t="s">
        <v>821</v>
      </c>
      <c r="K936" s="28" t="s">
        <v>570</v>
      </c>
      <c r="M936" s="28" t="s">
        <v>1153</v>
      </c>
      <c r="N936" s="28" t="s">
        <v>798</v>
      </c>
      <c r="O936" s="28" t="s">
        <v>326</v>
      </c>
      <c r="R936" s="28" t="s">
        <v>264</v>
      </c>
    </row>
    <row r="937" spans="5:18" x14ac:dyDescent="0.25">
      <c r="E937" s="28" t="s">
        <v>559</v>
      </c>
      <c r="J937" s="28" t="s">
        <v>906</v>
      </c>
      <c r="N937" s="28" t="s">
        <v>799</v>
      </c>
      <c r="O937" s="28" t="s">
        <v>899</v>
      </c>
      <c r="Q937" s="28" t="s">
        <v>1384</v>
      </c>
    </row>
    <row r="938" spans="5:18" x14ac:dyDescent="0.25">
      <c r="H938" s="28" t="s">
        <v>811</v>
      </c>
      <c r="J938" s="28" t="s">
        <v>907</v>
      </c>
      <c r="K938" s="28" t="s">
        <v>1066</v>
      </c>
      <c r="M938" s="28" t="s">
        <v>1133</v>
      </c>
      <c r="R938" s="28" t="s">
        <v>255</v>
      </c>
    </row>
    <row r="939" spans="5:18" x14ac:dyDescent="0.25">
      <c r="E939" s="28" t="s">
        <v>244</v>
      </c>
      <c r="H939" s="28" t="s">
        <v>822</v>
      </c>
      <c r="N939" s="28" t="s">
        <v>82</v>
      </c>
      <c r="O939" s="28" t="s">
        <v>82</v>
      </c>
      <c r="Q939" s="28" t="s">
        <v>1385</v>
      </c>
    </row>
    <row r="940" spans="5:18" x14ac:dyDescent="0.25">
      <c r="H940" s="28" t="s">
        <v>811</v>
      </c>
      <c r="J940" s="28" t="s">
        <v>212</v>
      </c>
      <c r="K940" s="28" t="s">
        <v>1102</v>
      </c>
      <c r="M940" s="28" t="s">
        <v>160</v>
      </c>
      <c r="N940" s="28" t="s">
        <v>73</v>
      </c>
      <c r="R940" s="28" t="s">
        <v>250</v>
      </c>
    </row>
    <row r="941" spans="5:18" x14ac:dyDescent="0.25">
      <c r="E941" s="28" t="s">
        <v>507</v>
      </c>
      <c r="K941" s="28" t="s">
        <v>1103</v>
      </c>
      <c r="N941" s="28" t="s">
        <v>43</v>
      </c>
      <c r="O941" s="28" t="s">
        <v>906</v>
      </c>
      <c r="Q941" s="28" t="s">
        <v>1386</v>
      </c>
      <c r="R941" s="28" t="s">
        <v>261</v>
      </c>
    </row>
    <row r="942" spans="5:18" x14ac:dyDescent="0.25">
      <c r="H942" s="28" t="s">
        <v>911</v>
      </c>
      <c r="J942" s="28" t="s">
        <v>908</v>
      </c>
      <c r="M942" s="28" t="s">
        <v>676</v>
      </c>
      <c r="O942" s="28" t="s">
        <v>907</v>
      </c>
      <c r="R942" s="28" t="s">
        <v>245</v>
      </c>
    </row>
    <row r="943" spans="5:18" x14ac:dyDescent="0.25">
      <c r="E943" s="28" t="s">
        <v>418</v>
      </c>
      <c r="K943" s="28" t="s">
        <v>1104</v>
      </c>
      <c r="M943" s="28" t="s">
        <v>1105</v>
      </c>
      <c r="N943" s="28" t="s">
        <v>972</v>
      </c>
      <c r="Q943" s="28" t="s">
        <v>245</v>
      </c>
      <c r="R943" s="28" t="s">
        <v>263</v>
      </c>
    </row>
    <row r="944" spans="5:18" x14ac:dyDescent="0.25">
      <c r="H944" s="28" t="s">
        <v>823</v>
      </c>
      <c r="J944" s="28" t="s">
        <v>809</v>
      </c>
      <c r="N944" s="28" t="s">
        <v>780</v>
      </c>
      <c r="O944" s="28" t="s">
        <v>212</v>
      </c>
      <c r="Q944" s="28" t="s">
        <v>246</v>
      </c>
      <c r="R944" s="28" t="s">
        <v>254</v>
      </c>
    </row>
    <row r="945" spans="5:18" x14ac:dyDescent="0.25">
      <c r="E945" s="28" t="s">
        <v>418</v>
      </c>
      <c r="H945" s="28" t="s">
        <v>809</v>
      </c>
      <c r="J945" s="28" t="s">
        <v>810</v>
      </c>
      <c r="K945" s="28" t="s">
        <v>916</v>
      </c>
      <c r="M945" s="28" t="s">
        <v>1112</v>
      </c>
      <c r="N945" s="28" t="s">
        <v>786</v>
      </c>
      <c r="Q945" s="28" t="s">
        <v>247</v>
      </c>
      <c r="R945" s="28" t="s">
        <v>253</v>
      </c>
    </row>
    <row r="946" spans="5:18" x14ac:dyDescent="0.25">
      <c r="H946" s="28" t="s">
        <v>826</v>
      </c>
      <c r="J946" s="28" t="s">
        <v>811</v>
      </c>
      <c r="N946" s="28" t="s">
        <v>800</v>
      </c>
      <c r="O946" s="28" t="s">
        <v>908</v>
      </c>
      <c r="Q946" s="28" t="s">
        <v>248</v>
      </c>
    </row>
    <row r="947" spans="5:18" x14ac:dyDescent="0.25">
      <c r="E947" s="28" t="s">
        <v>449</v>
      </c>
      <c r="J947" s="28" t="s">
        <v>812</v>
      </c>
      <c r="K947" s="28" t="s">
        <v>916</v>
      </c>
      <c r="M947" s="28" t="s">
        <v>212</v>
      </c>
      <c r="N947" s="28" t="s">
        <v>773</v>
      </c>
      <c r="Q947" s="28" t="s">
        <v>245</v>
      </c>
      <c r="R947" s="28" t="s">
        <v>254</v>
      </c>
    </row>
    <row r="948" spans="5:18" x14ac:dyDescent="0.25">
      <c r="H948" s="28" t="s">
        <v>827</v>
      </c>
      <c r="J948" s="28" t="s">
        <v>809</v>
      </c>
      <c r="N948" s="28" t="s">
        <v>972</v>
      </c>
      <c r="O948" s="28" t="s">
        <v>878</v>
      </c>
      <c r="Q948" s="28" t="s">
        <v>249</v>
      </c>
      <c r="R948" s="28" t="s">
        <v>255</v>
      </c>
    </row>
    <row r="949" spans="5:18" x14ac:dyDescent="0.25">
      <c r="E949" s="28" t="s">
        <v>449</v>
      </c>
      <c r="H949" s="28" t="s">
        <v>823</v>
      </c>
      <c r="J949" s="28" t="s">
        <v>813</v>
      </c>
      <c r="K949" s="28" t="s">
        <v>918</v>
      </c>
      <c r="M949" s="28" t="s">
        <v>1113</v>
      </c>
      <c r="N949" s="28" t="s">
        <v>801</v>
      </c>
      <c r="O949" s="28" t="s">
        <v>705</v>
      </c>
      <c r="Q949" s="28" t="s">
        <v>247</v>
      </c>
      <c r="R949" s="28" t="s">
        <v>248</v>
      </c>
    </row>
    <row r="950" spans="5:18" x14ac:dyDescent="0.25">
      <c r="H950" s="28" t="s">
        <v>809</v>
      </c>
      <c r="J950" s="28" t="s">
        <v>811</v>
      </c>
      <c r="K950" s="28" t="s">
        <v>1105</v>
      </c>
      <c r="N950" s="28" t="s">
        <v>774</v>
      </c>
      <c r="O950" s="28" t="s">
        <v>1284</v>
      </c>
      <c r="Q950" s="28" t="s">
        <v>250</v>
      </c>
      <c r="R950" s="28" t="s">
        <v>246</v>
      </c>
    </row>
    <row r="951" spans="5:18" x14ac:dyDescent="0.25">
      <c r="E951" s="28" t="s">
        <v>566</v>
      </c>
      <c r="J951" s="28" t="s">
        <v>814</v>
      </c>
      <c r="M951" s="28" t="s">
        <v>419</v>
      </c>
      <c r="N951" s="28" t="s">
        <v>802</v>
      </c>
      <c r="Q951" s="28" t="s">
        <v>251</v>
      </c>
      <c r="R951" s="28" t="s">
        <v>256</v>
      </c>
    </row>
    <row r="952" spans="5:18" x14ac:dyDescent="0.25">
      <c r="H952" s="28" t="s">
        <v>912</v>
      </c>
      <c r="J952" s="28" t="s">
        <v>815</v>
      </c>
      <c r="K952" s="28" t="s">
        <v>284</v>
      </c>
      <c r="M952" s="28" t="s">
        <v>545</v>
      </c>
      <c r="N952" s="28" t="s">
        <v>775</v>
      </c>
      <c r="O952" s="28" t="s">
        <v>914</v>
      </c>
      <c r="Q952" s="28" t="s">
        <v>245</v>
      </c>
    </row>
    <row r="953" spans="5:18" x14ac:dyDescent="0.25">
      <c r="E953" s="28" t="s">
        <v>244</v>
      </c>
      <c r="J953" s="28" t="s">
        <v>809</v>
      </c>
      <c r="Q953" s="28" t="s">
        <v>252</v>
      </c>
      <c r="R953" s="28" t="s">
        <v>265</v>
      </c>
    </row>
    <row r="954" spans="5:18" x14ac:dyDescent="0.25">
      <c r="H954" s="28" t="s">
        <v>810</v>
      </c>
      <c r="J954" s="28" t="s">
        <v>816</v>
      </c>
      <c r="K954" s="28" t="s">
        <v>424</v>
      </c>
      <c r="M954" s="28" t="s">
        <v>419</v>
      </c>
      <c r="N954" s="28" t="s">
        <v>778</v>
      </c>
      <c r="O954" s="28" t="s">
        <v>880</v>
      </c>
      <c r="R954" s="28" t="s">
        <v>266</v>
      </c>
    </row>
    <row r="955" spans="5:18" x14ac:dyDescent="0.25">
      <c r="E955" s="28" t="s">
        <v>514</v>
      </c>
      <c r="H955" s="28" t="s">
        <v>818</v>
      </c>
      <c r="K955" s="28" t="s">
        <v>420</v>
      </c>
      <c r="M955" s="28" t="s">
        <v>545</v>
      </c>
      <c r="O955" s="28" t="s">
        <v>881</v>
      </c>
      <c r="Q955" s="28" t="s">
        <v>253</v>
      </c>
      <c r="R955" s="28" t="s">
        <v>267</v>
      </c>
    </row>
    <row r="956" spans="5:18" x14ac:dyDescent="0.25">
      <c r="J956" s="28" t="s">
        <v>909</v>
      </c>
      <c r="N956" s="28" t="s">
        <v>777</v>
      </c>
      <c r="O956" s="28" t="s">
        <v>882</v>
      </c>
      <c r="R956" s="28" t="s">
        <v>268</v>
      </c>
    </row>
    <row r="957" spans="5:18" x14ac:dyDescent="0.25">
      <c r="E957" s="28" t="s">
        <v>566</v>
      </c>
      <c r="H957" s="28" t="s">
        <v>265</v>
      </c>
      <c r="J957" s="28" t="s">
        <v>910</v>
      </c>
      <c r="K957" s="28" t="s">
        <v>545</v>
      </c>
      <c r="M957" s="28" t="s">
        <v>390</v>
      </c>
      <c r="Q957" s="28" t="s">
        <v>254</v>
      </c>
    </row>
    <row r="958" spans="5:18" x14ac:dyDescent="0.25">
      <c r="H958" s="28" t="s">
        <v>266</v>
      </c>
      <c r="N958" s="28" t="s">
        <v>779</v>
      </c>
      <c r="O958" s="28" t="s">
        <v>883</v>
      </c>
      <c r="Q958" s="28" t="s">
        <v>255</v>
      </c>
      <c r="R958" s="28" t="s">
        <v>269</v>
      </c>
    </row>
    <row r="959" spans="5:18" x14ac:dyDescent="0.25">
      <c r="E959" s="28" t="s">
        <v>449</v>
      </c>
      <c r="H959" s="28" t="s">
        <v>267</v>
      </c>
      <c r="J959" s="28" t="s">
        <v>810</v>
      </c>
      <c r="K959" s="28" t="s">
        <v>1106</v>
      </c>
      <c r="M959" s="28" t="s">
        <v>1133</v>
      </c>
      <c r="Q959" s="28" t="s">
        <v>248</v>
      </c>
      <c r="R959" s="28" t="s">
        <v>270</v>
      </c>
    </row>
    <row r="960" spans="5:18" x14ac:dyDescent="0.25">
      <c r="H960" s="28" t="s">
        <v>268</v>
      </c>
      <c r="N960" s="28" t="s">
        <v>972</v>
      </c>
      <c r="O960" s="28" t="s">
        <v>884</v>
      </c>
      <c r="Q960" s="28" t="s">
        <v>246</v>
      </c>
      <c r="R960" s="28" t="s">
        <v>268</v>
      </c>
    </row>
    <row r="961" spans="5:18" x14ac:dyDescent="0.25">
      <c r="E961" s="28" t="s">
        <v>425</v>
      </c>
      <c r="J961" s="28" t="s">
        <v>811</v>
      </c>
      <c r="K961" s="28" t="s">
        <v>1106</v>
      </c>
      <c r="M961" s="28" t="s">
        <v>160</v>
      </c>
      <c r="Q961" s="28" t="s">
        <v>256</v>
      </c>
      <c r="R961" s="28" t="s">
        <v>267</v>
      </c>
    </row>
    <row r="962" spans="5:18" x14ac:dyDescent="0.25">
      <c r="E962" s="28" t="s">
        <v>390</v>
      </c>
      <c r="H962" s="28" t="s">
        <v>269</v>
      </c>
      <c r="J962" s="28" t="s">
        <v>820</v>
      </c>
      <c r="N962" s="28" t="s">
        <v>972</v>
      </c>
      <c r="O962" s="28" t="s">
        <v>885</v>
      </c>
      <c r="R962" s="28" t="s">
        <v>269</v>
      </c>
    </row>
    <row r="963" spans="5:18" x14ac:dyDescent="0.25">
      <c r="H963" s="28" t="s">
        <v>270</v>
      </c>
      <c r="J963" s="28" t="s">
        <v>821</v>
      </c>
      <c r="K963" s="28" t="s">
        <v>891</v>
      </c>
      <c r="M963" s="28" t="s">
        <v>160</v>
      </c>
      <c r="Q963" s="28" t="s">
        <v>254</v>
      </c>
      <c r="R963" s="28" t="s">
        <v>265</v>
      </c>
    </row>
    <row r="964" spans="5:18" x14ac:dyDescent="0.25">
      <c r="E964" s="28" t="s">
        <v>420</v>
      </c>
      <c r="H964" s="28" t="s">
        <v>268</v>
      </c>
      <c r="K964" s="28" t="s">
        <v>892</v>
      </c>
      <c r="N964" s="28" t="s">
        <v>1187</v>
      </c>
      <c r="O964" s="28" t="s">
        <v>687</v>
      </c>
      <c r="Q964" s="28" t="s">
        <v>255</v>
      </c>
      <c r="R964" s="28" t="s">
        <v>254</v>
      </c>
    </row>
    <row r="965" spans="5:18" x14ac:dyDescent="0.25">
      <c r="H965" s="28" t="s">
        <v>267</v>
      </c>
      <c r="J965" s="28" t="s">
        <v>811</v>
      </c>
      <c r="M965" s="28" t="s">
        <v>809</v>
      </c>
      <c r="O965" s="28" t="s">
        <v>712</v>
      </c>
    </row>
    <row r="966" spans="5:18" x14ac:dyDescent="0.25">
      <c r="E966" s="28" t="s">
        <v>418</v>
      </c>
      <c r="H966" s="28" t="s">
        <v>269</v>
      </c>
      <c r="J966" s="28" t="s">
        <v>822</v>
      </c>
      <c r="K966" s="28" t="s">
        <v>779</v>
      </c>
      <c r="M966" s="28" t="s">
        <v>810</v>
      </c>
      <c r="N966" s="28" t="s">
        <v>803</v>
      </c>
      <c r="Q966" s="28" t="s">
        <v>257</v>
      </c>
      <c r="R966" s="28" t="s">
        <v>271</v>
      </c>
    </row>
    <row r="967" spans="5:18" x14ac:dyDescent="0.25">
      <c r="H967" s="28" t="s">
        <v>265</v>
      </c>
      <c r="J967" s="28" t="s">
        <v>811</v>
      </c>
      <c r="K967" s="28" t="s">
        <v>778</v>
      </c>
      <c r="M967" s="28" t="s">
        <v>811</v>
      </c>
      <c r="N967" s="28" t="s">
        <v>346</v>
      </c>
      <c r="O967" s="28" t="s">
        <v>886</v>
      </c>
      <c r="Q967" s="28" t="s">
        <v>247</v>
      </c>
    </row>
    <row r="968" spans="5:18" x14ac:dyDescent="0.25">
      <c r="E968" s="28" t="s">
        <v>418</v>
      </c>
      <c r="H968" s="28" t="s">
        <v>254</v>
      </c>
      <c r="M968" s="28" t="s">
        <v>812</v>
      </c>
      <c r="Q968" s="28" t="s">
        <v>258</v>
      </c>
      <c r="R968" s="28" t="s">
        <v>273</v>
      </c>
    </row>
    <row r="969" spans="5:18" x14ac:dyDescent="0.25">
      <c r="J969" s="28" t="s">
        <v>911</v>
      </c>
      <c r="K969" s="28" t="s">
        <v>1107</v>
      </c>
      <c r="M969" s="28" t="s">
        <v>809</v>
      </c>
      <c r="N969" s="28" t="s">
        <v>77</v>
      </c>
      <c r="O969" s="28" t="s">
        <v>205</v>
      </c>
      <c r="Q969" s="28" t="s">
        <v>259</v>
      </c>
      <c r="R969" s="28" t="s">
        <v>274</v>
      </c>
    </row>
    <row r="970" spans="5:18" x14ac:dyDescent="0.25">
      <c r="E970" s="28" t="s">
        <v>567</v>
      </c>
      <c r="H970" s="28" t="s">
        <v>271</v>
      </c>
      <c r="M970" s="28" t="s">
        <v>813</v>
      </c>
      <c r="R970" s="28" t="s">
        <v>266</v>
      </c>
    </row>
    <row r="971" spans="5:18" x14ac:dyDescent="0.25">
      <c r="E971" s="28" t="s">
        <v>390</v>
      </c>
      <c r="J971" s="28" t="s">
        <v>823</v>
      </c>
      <c r="K971" s="28" t="s">
        <v>785</v>
      </c>
      <c r="M971" s="28" t="s">
        <v>811</v>
      </c>
      <c r="N971" s="28" t="s">
        <v>804</v>
      </c>
      <c r="O971" s="28" t="s">
        <v>887</v>
      </c>
      <c r="Q971" s="28" t="s">
        <v>247</v>
      </c>
      <c r="R971" s="28" t="s">
        <v>275</v>
      </c>
    </row>
    <row r="972" spans="5:18" x14ac:dyDescent="0.25">
      <c r="E972" s="28" t="s">
        <v>420</v>
      </c>
      <c r="H972" s="28" t="s">
        <v>273</v>
      </c>
      <c r="J972" s="28" t="s">
        <v>809</v>
      </c>
      <c r="M972" s="28" t="s">
        <v>814</v>
      </c>
      <c r="O972" s="28" t="s">
        <v>888</v>
      </c>
      <c r="Q972" s="28" t="s">
        <v>260</v>
      </c>
    </row>
    <row r="973" spans="5:18" x14ac:dyDescent="0.25">
      <c r="H973" s="28" t="s">
        <v>274</v>
      </c>
      <c r="J973" s="28" t="s">
        <v>826</v>
      </c>
      <c r="K973" s="28" t="s">
        <v>894</v>
      </c>
      <c r="M973" s="28" t="s">
        <v>815</v>
      </c>
      <c r="N973" s="28" t="s">
        <v>805</v>
      </c>
      <c r="O973" s="28" t="s">
        <v>716</v>
      </c>
      <c r="Q973" s="28" t="s">
        <v>247</v>
      </c>
      <c r="R973" s="28" t="s">
        <v>1371</v>
      </c>
    </row>
    <row r="974" spans="5:18" x14ac:dyDescent="0.25">
      <c r="E974" s="28" t="s">
        <v>278</v>
      </c>
      <c r="H974" s="28" t="s">
        <v>266</v>
      </c>
      <c r="M974" s="28" t="s">
        <v>809</v>
      </c>
      <c r="Q974" s="28" t="s">
        <v>261</v>
      </c>
      <c r="R974" s="28" t="s">
        <v>194</v>
      </c>
    </row>
    <row r="975" spans="5:18" x14ac:dyDescent="0.25">
      <c r="H975" s="28" t="s">
        <v>275</v>
      </c>
      <c r="J975" s="28" t="s">
        <v>827</v>
      </c>
      <c r="K975" s="28" t="s">
        <v>895</v>
      </c>
      <c r="M975" s="28" t="s">
        <v>816</v>
      </c>
      <c r="N975" s="28" t="s">
        <v>363</v>
      </c>
      <c r="O975" s="28" t="s">
        <v>889</v>
      </c>
      <c r="Q975" s="28" t="s">
        <v>254</v>
      </c>
    </row>
    <row r="976" spans="5:18" x14ac:dyDescent="0.25">
      <c r="E976" s="28" t="s">
        <v>278</v>
      </c>
      <c r="J976" s="28" t="s">
        <v>823</v>
      </c>
      <c r="O976" s="28" t="s">
        <v>716</v>
      </c>
      <c r="R976" s="28" t="s">
        <v>190</v>
      </c>
    </row>
    <row r="977" spans="5:18" x14ac:dyDescent="0.25">
      <c r="H977" s="28" t="s">
        <v>913</v>
      </c>
      <c r="J977" s="28" t="s">
        <v>809</v>
      </c>
      <c r="K977" s="28" t="s">
        <v>896</v>
      </c>
      <c r="M977" s="28" t="s">
        <v>909</v>
      </c>
      <c r="N977" s="28" t="s">
        <v>160</v>
      </c>
      <c r="Q977" s="28" t="s">
        <v>262</v>
      </c>
    </row>
    <row r="978" spans="5:18" x14ac:dyDescent="0.25">
      <c r="E978" s="28" t="s">
        <v>422</v>
      </c>
      <c r="H978" s="28" t="s">
        <v>881</v>
      </c>
      <c r="M978" s="28" t="s">
        <v>910</v>
      </c>
      <c r="O978" s="28" t="s">
        <v>1180</v>
      </c>
      <c r="R978" s="28" t="s">
        <v>1372</v>
      </c>
    </row>
    <row r="979" spans="5:18" x14ac:dyDescent="0.25">
      <c r="E979" s="28" t="s">
        <v>422</v>
      </c>
      <c r="H979" s="28" t="s">
        <v>882</v>
      </c>
      <c r="J979" s="28" t="s">
        <v>912</v>
      </c>
      <c r="K979" s="28" t="s">
        <v>897</v>
      </c>
      <c r="N979" s="28" t="s">
        <v>545</v>
      </c>
      <c r="Q979" s="28" t="s">
        <v>254</v>
      </c>
    </row>
    <row r="980" spans="5:18" x14ac:dyDescent="0.25">
      <c r="E980" s="28" t="s">
        <v>160</v>
      </c>
      <c r="M980" s="28" t="s">
        <v>810</v>
      </c>
      <c r="O980" s="28" t="s">
        <v>160</v>
      </c>
      <c r="Q980" s="28" t="s">
        <v>255</v>
      </c>
      <c r="R980" s="28" t="s">
        <v>885</v>
      </c>
    </row>
    <row r="981" spans="5:18" x14ac:dyDescent="0.25">
      <c r="H981" s="28" t="s">
        <v>883</v>
      </c>
      <c r="J981" s="28" t="s">
        <v>810</v>
      </c>
      <c r="K981" s="28" t="s">
        <v>898</v>
      </c>
      <c r="N981" s="28" t="s">
        <v>1238</v>
      </c>
      <c r="Q981" s="28" t="s">
        <v>263</v>
      </c>
    </row>
    <row r="982" spans="5:18" x14ac:dyDescent="0.25">
      <c r="E982" s="28" t="s">
        <v>424</v>
      </c>
      <c r="J982" s="28" t="s">
        <v>818</v>
      </c>
      <c r="M982" s="28" t="s">
        <v>811</v>
      </c>
      <c r="N982" s="28" t="s">
        <v>1239</v>
      </c>
      <c r="O982" s="28" t="s">
        <v>1105</v>
      </c>
      <c r="Q982" s="28" t="s">
        <v>261</v>
      </c>
      <c r="R982" s="28" t="s">
        <v>687</v>
      </c>
    </row>
    <row r="983" spans="5:18" x14ac:dyDescent="0.25">
      <c r="E983" s="28" t="s">
        <v>420</v>
      </c>
      <c r="H983" s="28" t="s">
        <v>884</v>
      </c>
      <c r="K983" s="28" t="s">
        <v>899</v>
      </c>
      <c r="M983" s="28" t="s">
        <v>820</v>
      </c>
      <c r="Q983" s="28" t="s">
        <v>245</v>
      </c>
    </row>
    <row r="984" spans="5:18" x14ac:dyDescent="0.25">
      <c r="E984" s="28" t="s">
        <v>244</v>
      </c>
      <c r="J984" s="28" t="s">
        <v>265</v>
      </c>
      <c r="M984" s="28" t="s">
        <v>821</v>
      </c>
      <c r="N984" s="28" t="s">
        <v>1089</v>
      </c>
      <c r="O984" s="28" t="s">
        <v>1180</v>
      </c>
      <c r="Q984" s="28" t="s">
        <v>264</v>
      </c>
      <c r="R984" s="28" t="s">
        <v>1373</v>
      </c>
    </row>
    <row r="985" spans="5:18" x14ac:dyDescent="0.25">
      <c r="H985" s="28" t="s">
        <v>885</v>
      </c>
      <c r="J985" s="28" t="s">
        <v>266</v>
      </c>
      <c r="K985" s="28" t="s">
        <v>900</v>
      </c>
    </row>
    <row r="986" spans="5:18" x14ac:dyDescent="0.25">
      <c r="E986" s="28" t="s">
        <v>424</v>
      </c>
      <c r="J986" s="28" t="s">
        <v>267</v>
      </c>
      <c r="M986" s="28" t="s">
        <v>811</v>
      </c>
      <c r="N986" s="28" t="s">
        <v>878</v>
      </c>
      <c r="O986" s="28" t="s">
        <v>420</v>
      </c>
      <c r="Q986" s="28" t="s">
        <v>255</v>
      </c>
      <c r="R986" s="28" t="s">
        <v>1484</v>
      </c>
    </row>
    <row r="987" spans="5:18" x14ac:dyDescent="0.25">
      <c r="E987" s="28" t="s">
        <v>243</v>
      </c>
      <c r="H987" s="28" t="s">
        <v>687</v>
      </c>
      <c r="J987" s="28" t="s">
        <v>268</v>
      </c>
      <c r="K987" s="28" t="s">
        <v>901</v>
      </c>
      <c r="M987" s="28" t="s">
        <v>822</v>
      </c>
      <c r="N987" s="28" t="s">
        <v>705</v>
      </c>
    </row>
    <row r="988" spans="5:18" x14ac:dyDescent="0.25">
      <c r="E988" s="28" t="s">
        <v>244</v>
      </c>
      <c r="H988" s="28" t="s">
        <v>711</v>
      </c>
      <c r="M988" s="28" t="s">
        <v>811</v>
      </c>
      <c r="N988" s="28" t="s">
        <v>1170</v>
      </c>
      <c r="O988" s="28" t="s">
        <v>1322</v>
      </c>
      <c r="Q988" s="28" t="s">
        <v>250</v>
      </c>
      <c r="R988" s="28" t="s">
        <v>1491</v>
      </c>
    </row>
    <row r="989" spans="5:18" x14ac:dyDescent="0.25">
      <c r="J989" s="28" t="s">
        <v>269</v>
      </c>
      <c r="K989" s="28" t="s">
        <v>902</v>
      </c>
      <c r="Q989" s="28" t="s">
        <v>261</v>
      </c>
    </row>
    <row r="990" spans="5:18" x14ac:dyDescent="0.25">
      <c r="E990" s="28" t="s">
        <v>416</v>
      </c>
      <c r="H990" s="28" t="s">
        <v>914</v>
      </c>
      <c r="J990" s="28" t="s">
        <v>270</v>
      </c>
      <c r="M990" s="28" t="s">
        <v>911</v>
      </c>
      <c r="N990" s="28" t="s">
        <v>914</v>
      </c>
      <c r="O990" s="28" t="s">
        <v>212</v>
      </c>
      <c r="Q990" s="28" t="s">
        <v>245</v>
      </c>
      <c r="R990" s="28" t="s">
        <v>1374</v>
      </c>
    </row>
    <row r="991" spans="5:18" x14ac:dyDescent="0.25">
      <c r="J991" s="28" t="s">
        <v>268</v>
      </c>
      <c r="K991" s="28" t="s">
        <v>903</v>
      </c>
      <c r="O991" s="28" t="s">
        <v>212</v>
      </c>
      <c r="Q991" s="28" t="s">
        <v>263</v>
      </c>
      <c r="R991" s="28" t="s">
        <v>882</v>
      </c>
    </row>
    <row r="992" spans="5:18" x14ac:dyDescent="0.25">
      <c r="E992" s="28" t="s">
        <v>390</v>
      </c>
      <c r="H992" s="28" t="s">
        <v>886</v>
      </c>
      <c r="J992" s="28" t="s">
        <v>267</v>
      </c>
      <c r="M992" s="28" t="s">
        <v>823</v>
      </c>
      <c r="N992" s="28" t="s">
        <v>880</v>
      </c>
      <c r="Q992" s="28" t="s">
        <v>254</v>
      </c>
    </row>
    <row r="993" spans="5:18" x14ac:dyDescent="0.25">
      <c r="J993" s="28" t="s">
        <v>269</v>
      </c>
      <c r="K993" s="28" t="s">
        <v>1108</v>
      </c>
      <c r="M993" s="28" t="s">
        <v>809</v>
      </c>
      <c r="N993" s="28" t="s">
        <v>881</v>
      </c>
      <c r="O993" s="28" t="s">
        <v>419</v>
      </c>
      <c r="Q993" s="28" t="s">
        <v>253</v>
      </c>
      <c r="R993" s="28" t="s">
        <v>205</v>
      </c>
    </row>
    <row r="994" spans="5:18" x14ac:dyDescent="0.25">
      <c r="E994" s="28" t="s">
        <v>568</v>
      </c>
      <c r="H994" s="28" t="s">
        <v>205</v>
      </c>
      <c r="J994" s="28" t="s">
        <v>265</v>
      </c>
      <c r="M994" s="28" t="s">
        <v>826</v>
      </c>
      <c r="N994" s="28" t="s">
        <v>882</v>
      </c>
      <c r="O994" s="28" t="s">
        <v>212</v>
      </c>
    </row>
    <row r="995" spans="5:18" x14ac:dyDescent="0.25">
      <c r="J995" s="28" t="s">
        <v>254</v>
      </c>
      <c r="K995" s="28" t="s">
        <v>77</v>
      </c>
      <c r="Q995" s="28" t="s">
        <v>254</v>
      </c>
      <c r="R995" s="28" t="s">
        <v>160</v>
      </c>
    </row>
    <row r="996" spans="5:18" x14ac:dyDescent="0.25">
      <c r="E996" s="28" t="s">
        <v>278</v>
      </c>
      <c r="H996" s="28" t="s">
        <v>887</v>
      </c>
      <c r="M996" s="28" t="s">
        <v>827</v>
      </c>
      <c r="N996" s="28" t="s">
        <v>883</v>
      </c>
      <c r="O996" s="28" t="s">
        <v>244</v>
      </c>
      <c r="Q996" s="28" t="s">
        <v>255</v>
      </c>
    </row>
    <row r="997" spans="5:18" x14ac:dyDescent="0.25">
      <c r="H997" s="28" t="s">
        <v>888</v>
      </c>
      <c r="J997" s="28" t="s">
        <v>271</v>
      </c>
      <c r="K997" s="28" t="s">
        <v>972</v>
      </c>
      <c r="M997" s="28" t="s">
        <v>823</v>
      </c>
      <c r="Q997" s="28" t="s">
        <v>248</v>
      </c>
      <c r="R997" s="28" t="s">
        <v>1375</v>
      </c>
    </row>
    <row r="998" spans="5:18" x14ac:dyDescent="0.25">
      <c r="E998" s="28" t="s">
        <v>419</v>
      </c>
      <c r="H998" s="28" t="s">
        <v>715</v>
      </c>
      <c r="M998" s="28" t="s">
        <v>809</v>
      </c>
      <c r="N998" s="28" t="s">
        <v>884</v>
      </c>
      <c r="O998" s="28" t="s">
        <v>809</v>
      </c>
      <c r="Q998" s="28" t="s">
        <v>246</v>
      </c>
      <c r="R998" s="28" t="s">
        <v>1376</v>
      </c>
    </row>
    <row r="999" spans="5:18" x14ac:dyDescent="0.25">
      <c r="E999" s="28" t="s">
        <v>285</v>
      </c>
      <c r="J999" s="28" t="s">
        <v>273</v>
      </c>
      <c r="K999" s="28" t="s">
        <v>905</v>
      </c>
      <c r="O999" s="28" t="s">
        <v>810</v>
      </c>
      <c r="Q999" s="28" t="s">
        <v>256</v>
      </c>
    </row>
    <row r="1000" spans="5:18" x14ac:dyDescent="0.25">
      <c r="H1000" s="28" t="s">
        <v>889</v>
      </c>
      <c r="J1000" s="28" t="s">
        <v>274</v>
      </c>
      <c r="K1000" s="28" t="s">
        <v>1084</v>
      </c>
      <c r="M1000" s="28" t="s">
        <v>912</v>
      </c>
      <c r="N1000" s="28" t="s">
        <v>885</v>
      </c>
      <c r="O1000" s="28" t="s">
        <v>811</v>
      </c>
      <c r="R1000" s="28" t="s">
        <v>689</v>
      </c>
    </row>
    <row r="1001" spans="5:18" x14ac:dyDescent="0.25">
      <c r="E1001" s="28" t="s">
        <v>422</v>
      </c>
      <c r="H1001" s="28" t="s">
        <v>715</v>
      </c>
      <c r="J1001" s="28" t="s">
        <v>266</v>
      </c>
      <c r="O1001" s="28" t="s">
        <v>812</v>
      </c>
      <c r="Q1001" s="28" t="s">
        <v>265</v>
      </c>
    </row>
    <row r="1002" spans="5:18" x14ac:dyDescent="0.25">
      <c r="E1002" s="28" t="s">
        <v>160</v>
      </c>
      <c r="J1002" s="28" t="s">
        <v>275</v>
      </c>
      <c r="K1002" s="28" t="s">
        <v>326</v>
      </c>
      <c r="M1002" s="28" t="s">
        <v>810</v>
      </c>
      <c r="N1002" s="28" t="s">
        <v>687</v>
      </c>
      <c r="O1002" s="28" t="s">
        <v>809</v>
      </c>
      <c r="Q1002" s="28" t="s">
        <v>266</v>
      </c>
      <c r="R1002" s="28" t="s">
        <v>1488</v>
      </c>
    </row>
    <row r="1003" spans="5:18" x14ac:dyDescent="0.25">
      <c r="H1003" s="28" t="s">
        <v>658</v>
      </c>
      <c r="K1003" s="28" t="s">
        <v>899</v>
      </c>
      <c r="M1003" s="28" t="s">
        <v>818</v>
      </c>
      <c r="N1003" s="28" t="s">
        <v>711</v>
      </c>
      <c r="O1003" s="28" t="s">
        <v>813</v>
      </c>
      <c r="Q1003" s="28" t="s">
        <v>267</v>
      </c>
    </row>
    <row r="1004" spans="5:18" x14ac:dyDescent="0.25">
      <c r="E1004" s="28" t="s">
        <v>502</v>
      </c>
      <c r="J1004" s="28" t="s">
        <v>1037</v>
      </c>
      <c r="O1004" s="28" t="s">
        <v>811</v>
      </c>
      <c r="Q1004" s="28" t="s">
        <v>268</v>
      </c>
      <c r="R1004" s="28" t="s">
        <v>1488</v>
      </c>
    </row>
    <row r="1005" spans="5:18" x14ac:dyDescent="0.25">
      <c r="H1005" s="28" t="s">
        <v>160</v>
      </c>
      <c r="K1005" s="28" t="s">
        <v>82</v>
      </c>
      <c r="M1005" s="28" t="s">
        <v>265</v>
      </c>
      <c r="N1005" s="28" t="s">
        <v>886</v>
      </c>
      <c r="O1005" s="28" t="s">
        <v>814</v>
      </c>
    </row>
    <row r="1006" spans="5:18" x14ac:dyDescent="0.25">
      <c r="E1006" s="28" t="s">
        <v>502</v>
      </c>
      <c r="J1006" s="28" t="s">
        <v>955</v>
      </c>
      <c r="M1006" s="28" t="s">
        <v>266</v>
      </c>
      <c r="O1006" s="28" t="s">
        <v>815</v>
      </c>
      <c r="Q1006" s="28" t="s">
        <v>269</v>
      </c>
      <c r="R1006" s="28" t="s">
        <v>1377</v>
      </c>
    </row>
    <row r="1007" spans="5:18" x14ac:dyDescent="0.25">
      <c r="H1007" s="28" t="s">
        <v>915</v>
      </c>
      <c r="K1007" s="28" t="s">
        <v>906</v>
      </c>
      <c r="M1007" s="28" t="s">
        <v>267</v>
      </c>
      <c r="N1007" s="28" t="s">
        <v>205</v>
      </c>
      <c r="O1007" s="28" t="s">
        <v>809</v>
      </c>
      <c r="Q1007" s="28" t="s">
        <v>270</v>
      </c>
      <c r="R1007" s="28" t="s">
        <v>705</v>
      </c>
    </row>
    <row r="1008" spans="5:18" x14ac:dyDescent="0.25">
      <c r="E1008" s="28" t="s">
        <v>569</v>
      </c>
      <c r="H1008" s="28" t="s">
        <v>705</v>
      </c>
      <c r="J1008" s="28" t="s">
        <v>160</v>
      </c>
      <c r="K1008" s="28" t="s">
        <v>907</v>
      </c>
      <c r="M1008" s="28" t="s">
        <v>268</v>
      </c>
      <c r="O1008" s="28" t="s">
        <v>816</v>
      </c>
      <c r="Q1008" s="28" t="s">
        <v>268</v>
      </c>
      <c r="R1008" s="28" t="s">
        <v>1476</v>
      </c>
    </row>
    <row r="1009" spans="5:18" x14ac:dyDescent="0.25">
      <c r="E1009" s="28" t="s">
        <v>390</v>
      </c>
      <c r="H1009" s="28" t="s">
        <v>657</v>
      </c>
      <c r="N1009" s="28" t="s">
        <v>887</v>
      </c>
      <c r="Q1009" s="28" t="s">
        <v>267</v>
      </c>
    </row>
    <row r="1010" spans="5:18" x14ac:dyDescent="0.25">
      <c r="J1010" s="28" t="s">
        <v>915</v>
      </c>
      <c r="K1010" s="28" t="s">
        <v>212</v>
      </c>
      <c r="M1010" s="28" t="s">
        <v>269</v>
      </c>
      <c r="N1010" s="28" t="s">
        <v>888</v>
      </c>
      <c r="O1010" s="28" t="s">
        <v>909</v>
      </c>
      <c r="Q1010" s="28" t="s">
        <v>269</v>
      </c>
      <c r="R1010" s="28" t="s">
        <v>160</v>
      </c>
    </row>
    <row r="1011" spans="5:18" x14ac:dyDescent="0.25">
      <c r="E1011" s="28" t="s">
        <v>479</v>
      </c>
      <c r="H1011" s="28" t="s">
        <v>916</v>
      </c>
      <c r="J1011" s="28" t="s">
        <v>705</v>
      </c>
      <c r="M1011" s="28" t="s">
        <v>270</v>
      </c>
      <c r="N1011" s="28" t="s">
        <v>715</v>
      </c>
      <c r="O1011" s="28" t="s">
        <v>910</v>
      </c>
      <c r="Q1011" s="28" t="s">
        <v>265</v>
      </c>
    </row>
    <row r="1012" spans="5:18" x14ac:dyDescent="0.25">
      <c r="J1012" s="28" t="s">
        <v>991</v>
      </c>
      <c r="K1012" s="28" t="s">
        <v>933</v>
      </c>
      <c r="M1012" s="28" t="s">
        <v>268</v>
      </c>
      <c r="Q1012" s="28" t="s">
        <v>254</v>
      </c>
      <c r="R1012" s="28" t="s">
        <v>1514</v>
      </c>
    </row>
    <row r="1013" spans="5:18" x14ac:dyDescent="0.25">
      <c r="E1013" s="28" t="s">
        <v>428</v>
      </c>
      <c r="H1013" s="28" t="s">
        <v>917</v>
      </c>
      <c r="M1013" s="28" t="s">
        <v>267</v>
      </c>
      <c r="N1013" s="28" t="s">
        <v>889</v>
      </c>
      <c r="O1013" s="28" t="s">
        <v>810</v>
      </c>
    </row>
    <row r="1014" spans="5:18" x14ac:dyDescent="0.25">
      <c r="J1014" s="28" t="s">
        <v>914</v>
      </c>
      <c r="K1014" s="28" t="s">
        <v>419</v>
      </c>
      <c r="M1014" s="28" t="s">
        <v>269</v>
      </c>
      <c r="N1014" s="28" t="s">
        <v>715</v>
      </c>
      <c r="Q1014" s="28" t="s">
        <v>271</v>
      </c>
      <c r="R1014" s="28" t="s">
        <v>456</v>
      </c>
    </row>
    <row r="1015" spans="5:18" x14ac:dyDescent="0.25">
      <c r="E1015" s="28" t="s">
        <v>449</v>
      </c>
      <c r="H1015" s="28" t="s">
        <v>658</v>
      </c>
      <c r="K1015" s="28" t="s">
        <v>422</v>
      </c>
      <c r="M1015" s="28" t="s">
        <v>265</v>
      </c>
      <c r="O1015" s="28" t="s">
        <v>811</v>
      </c>
    </row>
    <row r="1016" spans="5:18" x14ac:dyDescent="0.25">
      <c r="J1016" s="28" t="s">
        <v>880</v>
      </c>
      <c r="K1016" s="28" t="s">
        <v>419</v>
      </c>
      <c r="M1016" s="28" t="s">
        <v>254</v>
      </c>
      <c r="N1016" s="28" t="s">
        <v>722</v>
      </c>
      <c r="O1016" s="28" t="s">
        <v>820</v>
      </c>
      <c r="Q1016" s="28" t="s">
        <v>273</v>
      </c>
      <c r="R1016" s="28" t="s">
        <v>433</v>
      </c>
    </row>
    <row r="1017" spans="5:18" x14ac:dyDescent="0.25">
      <c r="E1017" s="28" t="s">
        <v>424</v>
      </c>
      <c r="H1017" s="28" t="s">
        <v>918</v>
      </c>
      <c r="J1017" s="28" t="s">
        <v>881</v>
      </c>
      <c r="K1017" s="28" t="s">
        <v>212</v>
      </c>
      <c r="O1017" s="28" t="s">
        <v>821</v>
      </c>
      <c r="Q1017" s="28" t="s">
        <v>274</v>
      </c>
    </row>
    <row r="1018" spans="5:18" x14ac:dyDescent="0.25">
      <c r="E1018" s="28" t="s">
        <v>422</v>
      </c>
      <c r="J1018" s="28" t="s">
        <v>882</v>
      </c>
      <c r="M1018" s="28" t="s">
        <v>271</v>
      </c>
      <c r="N1018" s="28" t="s">
        <v>160</v>
      </c>
      <c r="Q1018" s="28" t="s">
        <v>266</v>
      </c>
      <c r="R1018" s="28" t="s">
        <v>212</v>
      </c>
    </row>
    <row r="1019" spans="5:18" x14ac:dyDescent="0.25">
      <c r="E1019" s="28" t="s">
        <v>244</v>
      </c>
      <c r="H1019" s="28" t="s">
        <v>241</v>
      </c>
      <c r="K1019" s="28" t="s">
        <v>809</v>
      </c>
      <c r="O1019" s="28" t="s">
        <v>811</v>
      </c>
      <c r="Q1019" s="28" t="s">
        <v>275</v>
      </c>
    </row>
    <row r="1020" spans="5:18" x14ac:dyDescent="0.25">
      <c r="J1020" s="28" t="s">
        <v>883</v>
      </c>
      <c r="K1020" s="28" t="s">
        <v>810</v>
      </c>
      <c r="M1020" s="28" t="s">
        <v>273</v>
      </c>
      <c r="N1020" s="28" t="s">
        <v>420</v>
      </c>
      <c r="O1020" s="28" t="s">
        <v>822</v>
      </c>
      <c r="R1020" s="28" t="s">
        <v>244</v>
      </c>
    </row>
    <row r="1021" spans="5:18" x14ac:dyDescent="0.25">
      <c r="E1021" s="28" t="s">
        <v>445</v>
      </c>
      <c r="H1021" s="28" t="s">
        <v>433</v>
      </c>
      <c r="K1021" s="28" t="s">
        <v>811</v>
      </c>
      <c r="M1021" s="28" t="s">
        <v>274</v>
      </c>
      <c r="N1021" s="28" t="s">
        <v>420</v>
      </c>
      <c r="O1021" s="28" t="s">
        <v>811</v>
      </c>
      <c r="Q1021" s="28" t="s">
        <v>1371</v>
      </c>
    </row>
    <row r="1022" spans="5:18" x14ac:dyDescent="0.25">
      <c r="J1022" s="28" t="s">
        <v>884</v>
      </c>
      <c r="K1022" s="28" t="s">
        <v>812</v>
      </c>
      <c r="M1022" s="28" t="s">
        <v>266</v>
      </c>
      <c r="Q1022" s="28" t="s">
        <v>194</v>
      </c>
      <c r="R1022" s="28" t="s">
        <v>927</v>
      </c>
    </row>
    <row r="1023" spans="5:18" x14ac:dyDescent="0.25">
      <c r="E1023" s="28" t="s">
        <v>570</v>
      </c>
      <c r="H1023" s="28" t="s">
        <v>285</v>
      </c>
      <c r="K1023" s="28" t="s">
        <v>809</v>
      </c>
      <c r="M1023" s="28" t="s">
        <v>275</v>
      </c>
      <c r="N1023" s="28" t="s">
        <v>1105</v>
      </c>
      <c r="O1023" s="28" t="s">
        <v>911</v>
      </c>
    </row>
    <row r="1024" spans="5:18" x14ac:dyDescent="0.25">
      <c r="J1024" s="28" t="s">
        <v>885</v>
      </c>
      <c r="K1024" s="28" t="s">
        <v>813</v>
      </c>
      <c r="Q1024" s="28" t="s">
        <v>190</v>
      </c>
      <c r="R1024" s="28" t="s">
        <v>160</v>
      </c>
    </row>
    <row r="1025" spans="5:18" x14ac:dyDescent="0.25">
      <c r="E1025" s="28" t="s">
        <v>278</v>
      </c>
      <c r="H1025" s="28" t="s">
        <v>285</v>
      </c>
      <c r="K1025" s="28" t="s">
        <v>811</v>
      </c>
      <c r="M1025" s="28" t="s">
        <v>891</v>
      </c>
      <c r="N1025" s="28" t="s">
        <v>212</v>
      </c>
      <c r="O1025" s="28" t="s">
        <v>823</v>
      </c>
    </row>
    <row r="1026" spans="5:18" x14ac:dyDescent="0.25">
      <c r="J1026" s="28" t="s">
        <v>687</v>
      </c>
      <c r="K1026" s="28" t="s">
        <v>814</v>
      </c>
      <c r="M1026" s="28" t="s">
        <v>892</v>
      </c>
      <c r="O1026" s="28" t="s">
        <v>809</v>
      </c>
      <c r="Q1026" s="28" t="s">
        <v>1377</v>
      </c>
      <c r="R1026" s="28" t="s">
        <v>954</v>
      </c>
    </row>
    <row r="1027" spans="5:18" x14ac:dyDescent="0.25">
      <c r="E1027" s="28" t="s">
        <v>215</v>
      </c>
      <c r="H1027" s="28" t="s">
        <v>502</v>
      </c>
      <c r="J1027" s="28" t="s">
        <v>711</v>
      </c>
      <c r="K1027" s="28" t="s">
        <v>815</v>
      </c>
      <c r="N1027" s="28" t="s">
        <v>160</v>
      </c>
      <c r="O1027" s="28" t="s">
        <v>826</v>
      </c>
      <c r="Q1027" s="28" t="s">
        <v>705</v>
      </c>
      <c r="R1027" s="28" t="s">
        <v>1515</v>
      </c>
    </row>
    <row r="1028" spans="5:18" x14ac:dyDescent="0.25">
      <c r="K1028" s="28" t="s">
        <v>809</v>
      </c>
      <c r="M1028" s="28" t="s">
        <v>779</v>
      </c>
      <c r="Q1028" s="28" t="s">
        <v>1399</v>
      </c>
    </row>
    <row r="1029" spans="5:18" x14ac:dyDescent="0.25">
      <c r="E1029" s="28" t="s">
        <v>421</v>
      </c>
      <c r="H1029" s="28" t="s">
        <v>502</v>
      </c>
      <c r="J1029" s="28" t="s">
        <v>886</v>
      </c>
      <c r="K1029" s="28" t="s">
        <v>816</v>
      </c>
      <c r="M1029" s="28" t="s">
        <v>778</v>
      </c>
      <c r="N1029" s="28" t="s">
        <v>212</v>
      </c>
      <c r="O1029" s="28" t="s">
        <v>827</v>
      </c>
      <c r="R1029" s="28" t="s">
        <v>1491</v>
      </c>
    </row>
    <row r="1030" spans="5:18" x14ac:dyDescent="0.25">
      <c r="O1030" s="28" t="s">
        <v>823</v>
      </c>
      <c r="Q1030" s="28" t="s">
        <v>1372</v>
      </c>
    </row>
    <row r="1031" spans="5:18" x14ac:dyDescent="0.25">
      <c r="E1031" s="28" t="s">
        <v>568</v>
      </c>
      <c r="H1031" s="28" t="s">
        <v>420</v>
      </c>
      <c r="J1031" s="28" t="s">
        <v>205</v>
      </c>
      <c r="K1031" s="28" t="s">
        <v>909</v>
      </c>
      <c r="M1031" s="28" t="s">
        <v>1165</v>
      </c>
      <c r="N1031" s="28" t="s">
        <v>722</v>
      </c>
      <c r="O1031" s="28" t="s">
        <v>809</v>
      </c>
      <c r="R1031" s="28" t="s">
        <v>676</v>
      </c>
    </row>
    <row r="1032" spans="5:18" x14ac:dyDescent="0.25">
      <c r="H1032" s="28" t="s">
        <v>420</v>
      </c>
      <c r="K1032" s="28" t="s">
        <v>910</v>
      </c>
      <c r="Q1032" s="28" t="s">
        <v>885</v>
      </c>
      <c r="R1032" s="28" t="s">
        <v>390</v>
      </c>
    </row>
    <row r="1033" spans="5:18" x14ac:dyDescent="0.25">
      <c r="E1033" s="28" t="s">
        <v>245</v>
      </c>
      <c r="J1033" s="28" t="s">
        <v>887</v>
      </c>
      <c r="M1033" s="28" t="s">
        <v>785</v>
      </c>
      <c r="N1033" s="28" t="s">
        <v>160</v>
      </c>
      <c r="O1033" s="28" t="s">
        <v>912</v>
      </c>
      <c r="R1033" s="28" t="s">
        <v>1491</v>
      </c>
    </row>
    <row r="1034" spans="5:18" x14ac:dyDescent="0.25">
      <c r="E1034" s="28" t="s">
        <v>246</v>
      </c>
      <c r="H1034" s="28" t="s">
        <v>420</v>
      </c>
      <c r="J1034" s="28" t="s">
        <v>888</v>
      </c>
      <c r="K1034" s="28" t="s">
        <v>810</v>
      </c>
      <c r="Q1034" s="28" t="s">
        <v>1373</v>
      </c>
    </row>
    <row r="1035" spans="5:18" x14ac:dyDescent="0.25">
      <c r="E1035" s="28" t="s">
        <v>247</v>
      </c>
      <c r="H1035" s="28" t="s">
        <v>420</v>
      </c>
      <c r="J1035" s="28" t="s">
        <v>1011</v>
      </c>
      <c r="M1035" s="28" t="s">
        <v>894</v>
      </c>
      <c r="N1035" s="28" t="s">
        <v>160</v>
      </c>
      <c r="O1035" s="28" t="s">
        <v>810</v>
      </c>
      <c r="R1035" s="28" t="s">
        <v>1379</v>
      </c>
    </row>
    <row r="1036" spans="5:18" x14ac:dyDescent="0.25">
      <c r="E1036" s="28" t="s">
        <v>248</v>
      </c>
      <c r="K1036" s="28" t="s">
        <v>811</v>
      </c>
      <c r="O1036" s="28" t="s">
        <v>818</v>
      </c>
      <c r="Q1036" s="28" t="s">
        <v>687</v>
      </c>
      <c r="R1036" s="28" t="s">
        <v>1380</v>
      </c>
    </row>
    <row r="1037" spans="5:18" x14ac:dyDescent="0.25">
      <c r="E1037" s="28" t="s">
        <v>245</v>
      </c>
      <c r="H1037" s="28" t="s">
        <v>160</v>
      </c>
      <c r="J1037" s="28" t="s">
        <v>889</v>
      </c>
      <c r="K1037" s="28" t="s">
        <v>820</v>
      </c>
      <c r="M1037" s="28" t="s">
        <v>895</v>
      </c>
      <c r="N1037" s="28" t="s">
        <v>935</v>
      </c>
      <c r="Q1037" s="28" t="s">
        <v>1434</v>
      </c>
    </row>
    <row r="1038" spans="5:18" x14ac:dyDescent="0.25">
      <c r="E1038" s="28" t="s">
        <v>249</v>
      </c>
      <c r="J1038" s="28" t="s">
        <v>1011</v>
      </c>
      <c r="K1038" s="28" t="s">
        <v>821</v>
      </c>
      <c r="O1038" s="28" t="s">
        <v>265</v>
      </c>
      <c r="R1038" s="28" t="s">
        <v>1379</v>
      </c>
    </row>
    <row r="1039" spans="5:18" x14ac:dyDescent="0.25">
      <c r="E1039" s="28" t="s">
        <v>247</v>
      </c>
      <c r="H1039" s="28" t="s">
        <v>243</v>
      </c>
      <c r="M1039" s="28" t="s">
        <v>896</v>
      </c>
      <c r="N1039" s="28" t="s">
        <v>212</v>
      </c>
      <c r="O1039" s="28" t="s">
        <v>266</v>
      </c>
      <c r="Q1039" s="28" t="s">
        <v>1374</v>
      </c>
      <c r="R1039" s="28" t="s">
        <v>1380</v>
      </c>
    </row>
    <row r="1040" spans="5:18" x14ac:dyDescent="0.25">
      <c r="E1040" s="28" t="s">
        <v>250</v>
      </c>
      <c r="J1040" s="28" t="s">
        <v>1003</v>
      </c>
      <c r="K1040" s="28" t="s">
        <v>811</v>
      </c>
      <c r="O1040" s="28" t="s">
        <v>267</v>
      </c>
      <c r="Q1040" s="28" t="s">
        <v>882</v>
      </c>
    </row>
    <row r="1041" spans="5:18" x14ac:dyDescent="0.25">
      <c r="E1041" s="28" t="s">
        <v>251</v>
      </c>
      <c r="H1041" s="28" t="s">
        <v>212</v>
      </c>
      <c r="K1041" s="28" t="s">
        <v>822</v>
      </c>
      <c r="M1041" s="28" t="s">
        <v>897</v>
      </c>
      <c r="N1041" s="28" t="s">
        <v>678</v>
      </c>
      <c r="O1041" s="28" t="s">
        <v>268</v>
      </c>
      <c r="R1041" s="28" t="s">
        <v>245</v>
      </c>
    </row>
    <row r="1042" spans="5:18" x14ac:dyDescent="0.25">
      <c r="E1042" s="28" t="s">
        <v>245</v>
      </c>
      <c r="J1042" s="28" t="s">
        <v>160</v>
      </c>
      <c r="K1042" s="28" t="s">
        <v>811</v>
      </c>
      <c r="N1042" s="28" t="s">
        <v>930</v>
      </c>
      <c r="Q1042" s="28" t="s">
        <v>1420</v>
      </c>
      <c r="R1042" s="28" t="s">
        <v>246</v>
      </c>
    </row>
    <row r="1043" spans="5:18" x14ac:dyDescent="0.25">
      <c r="E1043" s="28" t="s">
        <v>252</v>
      </c>
      <c r="H1043" s="28" t="s">
        <v>919</v>
      </c>
      <c r="M1043" s="28" t="s">
        <v>898</v>
      </c>
      <c r="N1043" s="28" t="s">
        <v>1240</v>
      </c>
      <c r="O1043" s="28" t="s">
        <v>269</v>
      </c>
      <c r="R1043" s="28" t="s">
        <v>247</v>
      </c>
    </row>
    <row r="1044" spans="5:18" x14ac:dyDescent="0.25">
      <c r="H1044" s="28" t="s">
        <v>241</v>
      </c>
      <c r="J1044" s="28" t="s">
        <v>676</v>
      </c>
      <c r="K1044" s="28" t="s">
        <v>911</v>
      </c>
      <c r="O1044" s="28" t="s">
        <v>270</v>
      </c>
      <c r="Q1044" s="28" t="s">
        <v>205</v>
      </c>
      <c r="R1044" s="28" t="s">
        <v>248</v>
      </c>
    </row>
    <row r="1045" spans="5:18" x14ac:dyDescent="0.25">
      <c r="E1045" s="28" t="s">
        <v>253</v>
      </c>
      <c r="J1045" s="28" t="s">
        <v>677</v>
      </c>
      <c r="M1045" s="28" t="s">
        <v>899</v>
      </c>
      <c r="N1045" s="28" t="s">
        <v>212</v>
      </c>
      <c r="O1045" s="28" t="s">
        <v>268</v>
      </c>
      <c r="R1045" s="28" t="s">
        <v>245</v>
      </c>
    </row>
    <row r="1046" spans="5:18" x14ac:dyDescent="0.25">
      <c r="H1046" s="28" t="s">
        <v>920</v>
      </c>
      <c r="K1046" s="28" t="s">
        <v>823</v>
      </c>
      <c r="O1046" s="28" t="s">
        <v>267</v>
      </c>
      <c r="Q1046" s="28" t="s">
        <v>160</v>
      </c>
      <c r="R1046" s="28" t="s">
        <v>249</v>
      </c>
    </row>
    <row r="1047" spans="5:18" x14ac:dyDescent="0.25">
      <c r="E1047" s="28" t="s">
        <v>254</v>
      </c>
      <c r="J1047" s="28" t="s">
        <v>677</v>
      </c>
      <c r="K1047" s="28" t="s">
        <v>809</v>
      </c>
      <c r="M1047" s="28" t="s">
        <v>900</v>
      </c>
      <c r="N1047" s="28" t="s">
        <v>676</v>
      </c>
      <c r="O1047" s="28" t="s">
        <v>269</v>
      </c>
      <c r="R1047" s="28" t="s">
        <v>247</v>
      </c>
    </row>
    <row r="1048" spans="5:18" x14ac:dyDescent="0.25">
      <c r="E1048" s="28" t="s">
        <v>255</v>
      </c>
      <c r="H1048" s="28" t="s">
        <v>921</v>
      </c>
      <c r="K1048" s="28" t="s">
        <v>826</v>
      </c>
      <c r="N1048" s="28" t="s">
        <v>982</v>
      </c>
      <c r="O1048" s="28" t="s">
        <v>265</v>
      </c>
      <c r="Q1048" s="28" t="s">
        <v>1375</v>
      </c>
      <c r="R1048" s="28" t="s">
        <v>250</v>
      </c>
    </row>
    <row r="1049" spans="5:18" x14ac:dyDescent="0.25">
      <c r="E1049" s="28" t="s">
        <v>248</v>
      </c>
      <c r="J1049" s="28" t="s">
        <v>1003</v>
      </c>
      <c r="M1049" s="28" t="s">
        <v>901</v>
      </c>
      <c r="O1049" s="28" t="s">
        <v>254</v>
      </c>
      <c r="Q1049" s="28" t="s">
        <v>1376</v>
      </c>
      <c r="R1049" s="28" t="s">
        <v>251</v>
      </c>
    </row>
    <row r="1050" spans="5:18" x14ac:dyDescent="0.25">
      <c r="E1050" s="28" t="s">
        <v>246</v>
      </c>
      <c r="H1050" s="28" t="s">
        <v>244</v>
      </c>
      <c r="K1050" s="28" t="s">
        <v>827</v>
      </c>
      <c r="N1050" s="28" t="s">
        <v>420</v>
      </c>
      <c r="R1050" s="28" t="s">
        <v>245</v>
      </c>
    </row>
    <row r="1051" spans="5:18" x14ac:dyDescent="0.25">
      <c r="E1051" s="28" t="s">
        <v>256</v>
      </c>
      <c r="J1051" s="28" t="s">
        <v>989</v>
      </c>
      <c r="K1051" s="28" t="s">
        <v>823</v>
      </c>
      <c r="M1051" s="28" t="s">
        <v>902</v>
      </c>
      <c r="N1051" s="28" t="s">
        <v>420</v>
      </c>
      <c r="O1051" s="28" t="s">
        <v>271</v>
      </c>
      <c r="Q1051" s="28" t="s">
        <v>689</v>
      </c>
      <c r="R1051" s="28" t="s">
        <v>252</v>
      </c>
    </row>
    <row r="1052" spans="5:18" x14ac:dyDescent="0.25">
      <c r="E1052" s="28" t="s">
        <v>254</v>
      </c>
      <c r="H1052" s="28" t="s">
        <v>244</v>
      </c>
      <c r="J1052" s="28" t="s">
        <v>677</v>
      </c>
      <c r="K1052" s="28" t="s">
        <v>809</v>
      </c>
    </row>
    <row r="1053" spans="5:18" x14ac:dyDescent="0.25">
      <c r="E1053" s="28" t="s">
        <v>255</v>
      </c>
      <c r="M1053" s="28" t="s">
        <v>903</v>
      </c>
      <c r="N1053" s="28" t="s">
        <v>419</v>
      </c>
      <c r="O1053" s="28" t="s">
        <v>273</v>
      </c>
      <c r="Q1053" s="28" t="s">
        <v>1433</v>
      </c>
      <c r="R1053" s="28" t="s">
        <v>253</v>
      </c>
    </row>
    <row r="1054" spans="5:18" x14ac:dyDescent="0.25">
      <c r="E1054" s="28" t="s">
        <v>257</v>
      </c>
      <c r="H1054" s="28" t="s">
        <v>435</v>
      </c>
      <c r="J1054" s="28" t="s">
        <v>1003</v>
      </c>
      <c r="K1054" s="28" t="s">
        <v>912</v>
      </c>
      <c r="N1054" s="28" t="s">
        <v>545</v>
      </c>
      <c r="O1054" s="28" t="s">
        <v>274</v>
      </c>
    </row>
    <row r="1055" spans="5:18" x14ac:dyDescent="0.25">
      <c r="E1055" s="28" t="s">
        <v>247</v>
      </c>
      <c r="J1055" s="28" t="s">
        <v>1038</v>
      </c>
      <c r="M1055" s="28" t="s">
        <v>1164</v>
      </c>
      <c r="O1055" s="28" t="s">
        <v>266</v>
      </c>
      <c r="Q1055" s="28" t="s">
        <v>1433</v>
      </c>
      <c r="R1055" s="28" t="s">
        <v>254</v>
      </c>
    </row>
    <row r="1056" spans="5:18" x14ac:dyDescent="0.25">
      <c r="E1056" s="28" t="s">
        <v>258</v>
      </c>
      <c r="H1056" s="28" t="s">
        <v>809</v>
      </c>
      <c r="K1056" s="28" t="s">
        <v>810</v>
      </c>
      <c r="N1056" s="28" t="s">
        <v>244</v>
      </c>
      <c r="O1056" s="28" t="s">
        <v>275</v>
      </c>
      <c r="R1056" s="28" t="s">
        <v>255</v>
      </c>
    </row>
    <row r="1057" spans="5:18" x14ac:dyDescent="0.25">
      <c r="E1057" s="28" t="s">
        <v>259</v>
      </c>
      <c r="H1057" s="28" t="s">
        <v>810</v>
      </c>
      <c r="J1057" s="28" t="s">
        <v>243</v>
      </c>
      <c r="K1057" s="28" t="s">
        <v>818</v>
      </c>
      <c r="M1057" s="28" t="s">
        <v>77</v>
      </c>
      <c r="Q1057" s="28" t="s">
        <v>1006</v>
      </c>
      <c r="R1057" s="28" t="s">
        <v>248</v>
      </c>
    </row>
    <row r="1058" spans="5:18" x14ac:dyDescent="0.25">
      <c r="H1058" s="28" t="s">
        <v>811</v>
      </c>
      <c r="N1058" s="28" t="s">
        <v>435</v>
      </c>
      <c r="O1058" s="28" t="s">
        <v>891</v>
      </c>
      <c r="R1058" s="28" t="s">
        <v>246</v>
      </c>
    </row>
    <row r="1059" spans="5:18" x14ac:dyDescent="0.25">
      <c r="E1059" s="28" t="s">
        <v>247</v>
      </c>
      <c r="H1059" s="28" t="s">
        <v>812</v>
      </c>
      <c r="J1059" s="28" t="s">
        <v>244</v>
      </c>
      <c r="K1059" s="28" t="s">
        <v>265</v>
      </c>
      <c r="M1059" s="28" t="s">
        <v>972</v>
      </c>
      <c r="O1059" s="28" t="s">
        <v>892</v>
      </c>
      <c r="Q1059" s="28" t="s">
        <v>1420</v>
      </c>
      <c r="R1059" s="28" t="s">
        <v>256</v>
      </c>
    </row>
    <row r="1060" spans="5:18" x14ac:dyDescent="0.25">
      <c r="E1060" s="28" t="s">
        <v>260</v>
      </c>
      <c r="H1060" s="28" t="s">
        <v>809</v>
      </c>
      <c r="K1060" s="28" t="s">
        <v>266</v>
      </c>
      <c r="N1060" s="28" t="s">
        <v>244</v>
      </c>
    </row>
    <row r="1061" spans="5:18" x14ac:dyDescent="0.25">
      <c r="E1061" s="28" t="s">
        <v>247</v>
      </c>
      <c r="H1061" s="28" t="s">
        <v>813</v>
      </c>
      <c r="J1061" s="28" t="s">
        <v>1039</v>
      </c>
      <c r="K1061" s="28" t="s">
        <v>267</v>
      </c>
      <c r="M1061" s="28" t="s">
        <v>905</v>
      </c>
      <c r="O1061" s="28" t="s">
        <v>779</v>
      </c>
      <c r="Q1061" s="28" t="s">
        <v>160</v>
      </c>
      <c r="R1061" s="28" t="s">
        <v>254</v>
      </c>
    </row>
    <row r="1062" spans="5:18" x14ac:dyDescent="0.25">
      <c r="E1062" s="28" t="s">
        <v>261</v>
      </c>
      <c r="H1062" s="28" t="s">
        <v>811</v>
      </c>
      <c r="K1062" s="28" t="s">
        <v>268</v>
      </c>
      <c r="M1062" s="28" t="s">
        <v>1158</v>
      </c>
      <c r="N1062" s="28" t="s">
        <v>160</v>
      </c>
      <c r="O1062" s="28" t="s">
        <v>778</v>
      </c>
      <c r="R1062" s="28" t="s">
        <v>255</v>
      </c>
    </row>
    <row r="1063" spans="5:18" x14ac:dyDescent="0.25">
      <c r="E1063" s="28" t="s">
        <v>254</v>
      </c>
      <c r="H1063" s="28" t="s">
        <v>814</v>
      </c>
      <c r="J1063" s="28" t="s">
        <v>433</v>
      </c>
      <c r="Q1063" s="28" t="s">
        <v>160</v>
      </c>
    </row>
    <row r="1064" spans="5:18" x14ac:dyDescent="0.25">
      <c r="E1064" s="28" t="s">
        <v>262</v>
      </c>
      <c r="H1064" s="28" t="s">
        <v>815</v>
      </c>
      <c r="K1064" s="28" t="s">
        <v>269</v>
      </c>
      <c r="M1064" s="28" t="s">
        <v>326</v>
      </c>
      <c r="N1064" s="28" t="s">
        <v>809</v>
      </c>
      <c r="O1064" s="28" t="s">
        <v>1323</v>
      </c>
      <c r="R1064" s="28" t="s">
        <v>257</v>
      </c>
    </row>
    <row r="1065" spans="5:18" x14ac:dyDescent="0.25">
      <c r="E1065" s="28" t="s">
        <v>254</v>
      </c>
      <c r="H1065" s="28" t="s">
        <v>809</v>
      </c>
      <c r="J1065" s="28" t="s">
        <v>243</v>
      </c>
      <c r="K1065" s="28" t="s">
        <v>270</v>
      </c>
      <c r="M1065" s="28" t="s">
        <v>899</v>
      </c>
      <c r="N1065" s="28" t="s">
        <v>810</v>
      </c>
      <c r="Q1065" s="28" t="s">
        <v>160</v>
      </c>
      <c r="R1065" s="28" t="s">
        <v>247</v>
      </c>
    </row>
    <row r="1066" spans="5:18" x14ac:dyDescent="0.25">
      <c r="E1066" s="28" t="s">
        <v>255</v>
      </c>
      <c r="H1066" s="28" t="s">
        <v>816</v>
      </c>
      <c r="K1066" s="28" t="s">
        <v>268</v>
      </c>
      <c r="N1066" s="28" t="s">
        <v>811</v>
      </c>
      <c r="O1066" s="28" t="s">
        <v>785</v>
      </c>
      <c r="Q1066" s="28" t="s">
        <v>244</v>
      </c>
      <c r="R1066" s="28" t="s">
        <v>258</v>
      </c>
    </row>
    <row r="1067" spans="5:18" x14ac:dyDescent="0.25">
      <c r="E1067" s="28" t="s">
        <v>263</v>
      </c>
      <c r="J1067" s="28" t="s">
        <v>285</v>
      </c>
      <c r="K1067" s="28" t="s">
        <v>267</v>
      </c>
      <c r="M1067" s="28" t="s">
        <v>82</v>
      </c>
      <c r="N1067" s="28" t="s">
        <v>812</v>
      </c>
      <c r="Q1067" s="28" t="s">
        <v>244</v>
      </c>
      <c r="R1067" s="28" t="s">
        <v>259</v>
      </c>
    </row>
    <row r="1068" spans="5:18" x14ac:dyDescent="0.25">
      <c r="E1068" s="28" t="s">
        <v>261</v>
      </c>
      <c r="H1068" s="28" t="s">
        <v>909</v>
      </c>
      <c r="K1068" s="28" t="s">
        <v>269</v>
      </c>
      <c r="N1068" s="28" t="s">
        <v>809</v>
      </c>
      <c r="O1068" s="28" t="s">
        <v>894</v>
      </c>
    </row>
    <row r="1069" spans="5:18" x14ac:dyDescent="0.25">
      <c r="E1069" s="28" t="s">
        <v>245</v>
      </c>
      <c r="H1069" s="28" t="s">
        <v>910</v>
      </c>
      <c r="J1069" s="28" t="s">
        <v>417</v>
      </c>
      <c r="K1069" s="28" t="s">
        <v>265</v>
      </c>
      <c r="M1069" s="28" t="s">
        <v>906</v>
      </c>
      <c r="N1069" s="28" t="s">
        <v>813</v>
      </c>
      <c r="Q1069" s="28" t="s">
        <v>419</v>
      </c>
      <c r="R1069" s="28" t="s">
        <v>247</v>
      </c>
    </row>
    <row r="1070" spans="5:18" x14ac:dyDescent="0.25">
      <c r="E1070" s="28" t="s">
        <v>264</v>
      </c>
      <c r="K1070" s="28" t="s">
        <v>254</v>
      </c>
      <c r="M1070" s="28" t="s">
        <v>907</v>
      </c>
      <c r="N1070" s="28" t="s">
        <v>811</v>
      </c>
      <c r="O1070" s="28" t="s">
        <v>895</v>
      </c>
      <c r="Q1070" s="28" t="s">
        <v>160</v>
      </c>
      <c r="R1070" s="28" t="s">
        <v>260</v>
      </c>
    </row>
    <row r="1071" spans="5:18" x14ac:dyDescent="0.25">
      <c r="H1071" s="28" t="s">
        <v>810</v>
      </c>
      <c r="J1071" s="28" t="s">
        <v>244</v>
      </c>
      <c r="N1071" s="28" t="s">
        <v>814</v>
      </c>
      <c r="R1071" s="28" t="s">
        <v>247</v>
      </c>
    </row>
    <row r="1072" spans="5:18" x14ac:dyDescent="0.25">
      <c r="E1072" s="28" t="s">
        <v>255</v>
      </c>
      <c r="K1072" s="28" t="s">
        <v>271</v>
      </c>
      <c r="M1072" s="28" t="s">
        <v>244</v>
      </c>
      <c r="N1072" s="28" t="s">
        <v>815</v>
      </c>
      <c r="O1072" s="28" t="s">
        <v>896</v>
      </c>
      <c r="Q1072" s="28" t="s">
        <v>417</v>
      </c>
      <c r="R1072" s="28" t="s">
        <v>261</v>
      </c>
    </row>
    <row r="1073" spans="5:18" x14ac:dyDescent="0.25">
      <c r="H1073" s="28" t="s">
        <v>811</v>
      </c>
      <c r="J1073" s="28" t="s">
        <v>212</v>
      </c>
      <c r="N1073" s="28" t="s">
        <v>809</v>
      </c>
      <c r="R1073" s="28" t="s">
        <v>254</v>
      </c>
    </row>
    <row r="1074" spans="5:18" x14ac:dyDescent="0.25">
      <c r="E1074" s="28" t="s">
        <v>250</v>
      </c>
      <c r="H1074" s="28" t="s">
        <v>820</v>
      </c>
      <c r="J1074" s="28" t="s">
        <v>244</v>
      </c>
      <c r="K1074" s="28" t="s">
        <v>273</v>
      </c>
      <c r="M1074" s="28" t="s">
        <v>908</v>
      </c>
      <c r="N1074" s="28" t="s">
        <v>816</v>
      </c>
      <c r="O1074" s="28" t="s">
        <v>897</v>
      </c>
      <c r="Q1074" s="28" t="s">
        <v>676</v>
      </c>
    </row>
    <row r="1075" spans="5:18" x14ac:dyDescent="0.25">
      <c r="E1075" s="28" t="s">
        <v>261</v>
      </c>
      <c r="H1075" s="28" t="s">
        <v>821</v>
      </c>
      <c r="K1075" s="28" t="s">
        <v>274</v>
      </c>
      <c r="Q1075" s="28" t="s">
        <v>982</v>
      </c>
      <c r="R1075" s="28" t="s">
        <v>262</v>
      </c>
    </row>
    <row r="1076" spans="5:18" x14ac:dyDescent="0.25">
      <c r="E1076" s="28" t="s">
        <v>245</v>
      </c>
      <c r="J1076" s="28" t="s">
        <v>243</v>
      </c>
      <c r="K1076" s="28" t="s">
        <v>266</v>
      </c>
      <c r="M1076" s="28" t="s">
        <v>878</v>
      </c>
      <c r="N1076" s="28" t="s">
        <v>909</v>
      </c>
      <c r="O1076" s="28" t="s">
        <v>898</v>
      </c>
    </row>
    <row r="1077" spans="5:18" x14ac:dyDescent="0.25">
      <c r="E1077" s="28" t="s">
        <v>263</v>
      </c>
      <c r="H1077" s="28" t="s">
        <v>811</v>
      </c>
      <c r="K1077" s="28" t="s">
        <v>275</v>
      </c>
      <c r="M1077" s="28" t="s">
        <v>705</v>
      </c>
      <c r="N1077" s="28" t="s">
        <v>910</v>
      </c>
      <c r="Q1077" s="28" t="s">
        <v>160</v>
      </c>
      <c r="R1077" s="28" t="s">
        <v>254</v>
      </c>
    </row>
    <row r="1078" spans="5:18" x14ac:dyDescent="0.25">
      <c r="E1078" s="28" t="s">
        <v>254</v>
      </c>
      <c r="H1078" s="28" t="s">
        <v>822</v>
      </c>
      <c r="J1078" s="28" t="s">
        <v>212</v>
      </c>
      <c r="M1078" s="28" t="s">
        <v>1137</v>
      </c>
      <c r="O1078" s="28" t="s">
        <v>899</v>
      </c>
      <c r="R1078" s="28" t="s">
        <v>255</v>
      </c>
    </row>
    <row r="1079" spans="5:18" x14ac:dyDescent="0.25">
      <c r="E1079" s="28" t="s">
        <v>253</v>
      </c>
      <c r="H1079" s="28" t="s">
        <v>811</v>
      </c>
      <c r="K1079" s="28" t="s">
        <v>878</v>
      </c>
      <c r="N1079" s="28" t="s">
        <v>810</v>
      </c>
      <c r="Q1079" s="28" t="s">
        <v>285</v>
      </c>
      <c r="R1079" s="28" t="s">
        <v>263</v>
      </c>
    </row>
    <row r="1080" spans="5:18" x14ac:dyDescent="0.25">
      <c r="J1080" s="28" t="s">
        <v>419</v>
      </c>
      <c r="K1080" s="28" t="s">
        <v>705</v>
      </c>
      <c r="M1080" s="28" t="s">
        <v>914</v>
      </c>
      <c r="O1080" s="28" t="s">
        <v>900</v>
      </c>
      <c r="R1080" s="28" t="s">
        <v>261</v>
      </c>
    </row>
    <row r="1081" spans="5:18" x14ac:dyDescent="0.25">
      <c r="E1081" s="28" t="s">
        <v>254</v>
      </c>
      <c r="H1081" s="28" t="s">
        <v>911</v>
      </c>
      <c r="J1081" s="28" t="s">
        <v>545</v>
      </c>
      <c r="K1081" s="28" t="s">
        <v>1052</v>
      </c>
      <c r="N1081" s="28" t="s">
        <v>811</v>
      </c>
      <c r="Q1081" s="28" t="s">
        <v>243</v>
      </c>
      <c r="R1081" s="28" t="s">
        <v>245</v>
      </c>
    </row>
    <row r="1082" spans="5:18" x14ac:dyDescent="0.25">
      <c r="E1082" s="28" t="s">
        <v>255</v>
      </c>
      <c r="M1082" s="28" t="s">
        <v>880</v>
      </c>
      <c r="N1082" s="28" t="s">
        <v>820</v>
      </c>
      <c r="O1082" s="28" t="s">
        <v>901</v>
      </c>
      <c r="R1082" s="28" t="s">
        <v>264</v>
      </c>
    </row>
    <row r="1083" spans="5:18" x14ac:dyDescent="0.25">
      <c r="E1083" s="28" t="s">
        <v>248</v>
      </c>
      <c r="H1083" s="28" t="s">
        <v>823</v>
      </c>
      <c r="J1083" s="28" t="s">
        <v>212</v>
      </c>
      <c r="K1083" s="28" t="s">
        <v>914</v>
      </c>
      <c r="M1083" s="28" t="s">
        <v>881</v>
      </c>
      <c r="N1083" s="28" t="s">
        <v>821</v>
      </c>
      <c r="Q1083" s="28" t="s">
        <v>433</v>
      </c>
    </row>
    <row r="1084" spans="5:18" x14ac:dyDescent="0.25">
      <c r="E1084" s="28" t="s">
        <v>246</v>
      </c>
      <c r="H1084" s="28" t="s">
        <v>809</v>
      </c>
      <c r="M1084" s="28" t="s">
        <v>882</v>
      </c>
      <c r="O1084" s="28" t="s">
        <v>902</v>
      </c>
      <c r="R1084" s="28" t="s">
        <v>255</v>
      </c>
    </row>
    <row r="1085" spans="5:18" x14ac:dyDescent="0.25">
      <c r="E1085" s="28" t="s">
        <v>256</v>
      </c>
      <c r="H1085" s="28" t="s">
        <v>826</v>
      </c>
      <c r="J1085" s="28" t="s">
        <v>424</v>
      </c>
      <c r="K1085" s="28" t="s">
        <v>880</v>
      </c>
      <c r="N1085" s="28" t="s">
        <v>811</v>
      </c>
      <c r="Q1085" s="28" t="s">
        <v>442</v>
      </c>
    </row>
    <row r="1086" spans="5:18" x14ac:dyDescent="0.25">
      <c r="J1086" s="28" t="s">
        <v>545</v>
      </c>
      <c r="K1086" s="28" t="s">
        <v>881</v>
      </c>
      <c r="M1086" s="28" t="s">
        <v>883</v>
      </c>
      <c r="N1086" s="28" t="s">
        <v>822</v>
      </c>
      <c r="O1086" s="28" t="s">
        <v>903</v>
      </c>
      <c r="R1086" s="28" t="s">
        <v>250</v>
      </c>
    </row>
    <row r="1087" spans="5:18" x14ac:dyDescent="0.25">
      <c r="E1087" s="28" t="s">
        <v>265</v>
      </c>
      <c r="H1087" s="28" t="s">
        <v>827</v>
      </c>
      <c r="K1087" s="28" t="s">
        <v>882</v>
      </c>
      <c r="N1087" s="28" t="s">
        <v>811</v>
      </c>
      <c r="Q1087" s="28" t="s">
        <v>160</v>
      </c>
      <c r="R1087" s="28" t="s">
        <v>261</v>
      </c>
    </row>
    <row r="1088" spans="5:18" x14ac:dyDescent="0.25">
      <c r="E1088" s="28" t="s">
        <v>266</v>
      </c>
      <c r="H1088" s="28" t="s">
        <v>823</v>
      </c>
      <c r="J1088" s="28" t="s">
        <v>424</v>
      </c>
      <c r="M1088" s="28" t="s">
        <v>884</v>
      </c>
      <c r="O1088" s="28" t="s">
        <v>1321</v>
      </c>
      <c r="R1088" s="28" t="s">
        <v>245</v>
      </c>
    </row>
    <row r="1089" spans="5:18" x14ac:dyDescent="0.25">
      <c r="E1089" s="28" t="s">
        <v>267</v>
      </c>
      <c r="H1089" s="28" t="s">
        <v>809</v>
      </c>
      <c r="K1089" s="28" t="s">
        <v>883</v>
      </c>
      <c r="N1089" s="28" t="s">
        <v>911</v>
      </c>
      <c r="Q1089" s="28" t="s">
        <v>284</v>
      </c>
      <c r="R1089" s="28" t="s">
        <v>263</v>
      </c>
    </row>
    <row r="1090" spans="5:18" x14ac:dyDescent="0.25">
      <c r="E1090" s="28" t="s">
        <v>268</v>
      </c>
      <c r="J1090" s="28" t="s">
        <v>285</v>
      </c>
      <c r="M1090" s="28" t="s">
        <v>885</v>
      </c>
      <c r="O1090" s="28" t="s">
        <v>77</v>
      </c>
      <c r="R1090" s="28" t="s">
        <v>254</v>
      </c>
    </row>
    <row r="1091" spans="5:18" x14ac:dyDescent="0.25">
      <c r="E1091" s="28" t="s">
        <v>269</v>
      </c>
      <c r="H1091" s="28" t="s">
        <v>912</v>
      </c>
      <c r="K1091" s="28" t="s">
        <v>884</v>
      </c>
      <c r="N1091" s="28" t="s">
        <v>823</v>
      </c>
      <c r="Q1091" s="28" t="s">
        <v>891</v>
      </c>
      <c r="R1091" s="28" t="s">
        <v>253</v>
      </c>
    </row>
    <row r="1092" spans="5:18" x14ac:dyDescent="0.25">
      <c r="E1092" s="28" t="s">
        <v>270</v>
      </c>
      <c r="J1092" s="28" t="s">
        <v>424</v>
      </c>
      <c r="M1092" s="28" t="s">
        <v>687</v>
      </c>
      <c r="N1092" s="28" t="s">
        <v>809</v>
      </c>
      <c r="O1092" s="28" t="s">
        <v>972</v>
      </c>
      <c r="Q1092" s="28" t="s">
        <v>892</v>
      </c>
    </row>
    <row r="1093" spans="5:18" x14ac:dyDescent="0.25">
      <c r="E1093" s="28" t="s">
        <v>268</v>
      </c>
      <c r="H1093" s="28" t="s">
        <v>810</v>
      </c>
      <c r="K1093" s="28" t="s">
        <v>885</v>
      </c>
      <c r="M1093" s="28" t="s">
        <v>1075</v>
      </c>
      <c r="N1093" s="28" t="s">
        <v>826</v>
      </c>
      <c r="R1093" s="28" t="s">
        <v>254</v>
      </c>
    </row>
    <row r="1094" spans="5:18" x14ac:dyDescent="0.25">
      <c r="E1094" s="28" t="s">
        <v>267</v>
      </c>
      <c r="H1094" s="28" t="s">
        <v>818</v>
      </c>
      <c r="J1094" s="28" t="s">
        <v>1005</v>
      </c>
      <c r="O1094" s="28" t="s">
        <v>905</v>
      </c>
      <c r="Q1094" s="28" t="s">
        <v>779</v>
      </c>
      <c r="R1094" s="28" t="s">
        <v>255</v>
      </c>
    </row>
    <row r="1095" spans="5:18" x14ac:dyDescent="0.25">
      <c r="E1095" s="28" t="s">
        <v>269</v>
      </c>
      <c r="J1095" s="28" t="s">
        <v>930</v>
      </c>
      <c r="K1095" s="28" t="s">
        <v>687</v>
      </c>
      <c r="M1095" s="28" t="s">
        <v>886</v>
      </c>
      <c r="N1095" s="28" t="s">
        <v>827</v>
      </c>
      <c r="O1095" s="28" t="s">
        <v>1293</v>
      </c>
      <c r="Q1095" s="28" t="s">
        <v>778</v>
      </c>
      <c r="R1095" s="28" t="s">
        <v>248</v>
      </c>
    </row>
    <row r="1096" spans="5:18" x14ac:dyDescent="0.25">
      <c r="H1096" s="28" t="s">
        <v>265</v>
      </c>
      <c r="K1096" s="28" t="s">
        <v>711</v>
      </c>
      <c r="N1096" s="28" t="s">
        <v>823</v>
      </c>
      <c r="R1096" s="28" t="s">
        <v>246</v>
      </c>
    </row>
    <row r="1097" spans="5:18" x14ac:dyDescent="0.25">
      <c r="E1097" s="28" t="s">
        <v>271</v>
      </c>
      <c r="H1097" s="28" t="s">
        <v>266</v>
      </c>
      <c r="J1097" s="28" t="s">
        <v>940</v>
      </c>
      <c r="M1097" s="28" t="s">
        <v>205</v>
      </c>
      <c r="N1097" s="28" t="s">
        <v>809</v>
      </c>
      <c r="O1097" s="28" t="s">
        <v>326</v>
      </c>
      <c r="Q1097" s="28" t="s">
        <v>1460</v>
      </c>
      <c r="R1097" s="28" t="s">
        <v>256</v>
      </c>
    </row>
    <row r="1098" spans="5:18" x14ac:dyDescent="0.25">
      <c r="H1098" s="28" t="s">
        <v>267</v>
      </c>
      <c r="K1098" s="28" t="s">
        <v>886</v>
      </c>
      <c r="O1098" s="28" t="s">
        <v>899</v>
      </c>
    </row>
    <row r="1099" spans="5:18" x14ac:dyDescent="0.25">
      <c r="E1099" s="28" t="s">
        <v>254</v>
      </c>
      <c r="H1099" s="28" t="s">
        <v>268</v>
      </c>
      <c r="J1099" s="28" t="s">
        <v>160</v>
      </c>
      <c r="M1099" s="28" t="s">
        <v>887</v>
      </c>
      <c r="N1099" s="28" t="s">
        <v>912</v>
      </c>
      <c r="Q1099" s="28" t="s">
        <v>77</v>
      </c>
      <c r="R1099" s="28" t="s">
        <v>265</v>
      </c>
    </row>
    <row r="1100" spans="5:18" x14ac:dyDescent="0.25">
      <c r="K1100" s="28" t="s">
        <v>205</v>
      </c>
      <c r="M1100" s="28" t="s">
        <v>888</v>
      </c>
      <c r="O1100" s="28" t="s">
        <v>82</v>
      </c>
      <c r="R1100" s="28" t="s">
        <v>266</v>
      </c>
    </row>
    <row r="1101" spans="5:18" x14ac:dyDescent="0.25">
      <c r="E1101" s="28" t="s">
        <v>272</v>
      </c>
      <c r="H1101" s="28" t="s">
        <v>269</v>
      </c>
      <c r="J1101" s="28" t="s">
        <v>243</v>
      </c>
      <c r="M1101" s="28" t="s">
        <v>716</v>
      </c>
      <c r="N1101" s="28" t="s">
        <v>810</v>
      </c>
      <c r="Q1101" s="28" t="s">
        <v>1459</v>
      </c>
      <c r="R1101" s="28" t="s">
        <v>267</v>
      </c>
    </row>
    <row r="1102" spans="5:18" x14ac:dyDescent="0.25">
      <c r="E1102" s="28" t="s">
        <v>273</v>
      </c>
      <c r="H1102" s="28" t="s">
        <v>270</v>
      </c>
      <c r="K1102" s="28" t="s">
        <v>887</v>
      </c>
      <c r="N1102" s="28" t="s">
        <v>818</v>
      </c>
      <c r="O1102" s="28" t="s">
        <v>906</v>
      </c>
      <c r="R1102" s="28" t="s">
        <v>268</v>
      </c>
    </row>
    <row r="1103" spans="5:18" x14ac:dyDescent="0.25">
      <c r="E1103" s="28" t="s">
        <v>274</v>
      </c>
      <c r="H1103" s="28" t="s">
        <v>268</v>
      </c>
      <c r="J1103" s="28" t="s">
        <v>243</v>
      </c>
      <c r="K1103" s="28" t="s">
        <v>888</v>
      </c>
      <c r="M1103" s="28" t="s">
        <v>889</v>
      </c>
      <c r="O1103" s="28" t="s">
        <v>907</v>
      </c>
      <c r="Q1103" s="28" t="s">
        <v>786</v>
      </c>
    </row>
    <row r="1104" spans="5:18" x14ac:dyDescent="0.25">
      <c r="E1104" s="28" t="s">
        <v>266</v>
      </c>
      <c r="H1104" s="28" t="s">
        <v>267</v>
      </c>
      <c r="K1104" s="28" t="s">
        <v>1079</v>
      </c>
      <c r="M1104" s="28" t="s">
        <v>716</v>
      </c>
      <c r="N1104" s="28" t="s">
        <v>265</v>
      </c>
      <c r="R1104" s="28" t="s">
        <v>269</v>
      </c>
    </row>
    <row r="1105" spans="5:18" x14ac:dyDescent="0.25">
      <c r="E1105" s="28" t="s">
        <v>275</v>
      </c>
      <c r="H1105" s="28" t="s">
        <v>269</v>
      </c>
      <c r="J1105" s="28" t="s">
        <v>678</v>
      </c>
      <c r="N1105" s="28" t="s">
        <v>266</v>
      </c>
      <c r="O1105" s="28" t="s">
        <v>244</v>
      </c>
      <c r="Q1105" s="28" t="s">
        <v>1383</v>
      </c>
      <c r="R1105" s="28" t="s">
        <v>270</v>
      </c>
    </row>
    <row r="1106" spans="5:18" x14ac:dyDescent="0.25">
      <c r="H1106" s="28" t="s">
        <v>265</v>
      </c>
      <c r="J1106" s="28" t="s">
        <v>677</v>
      </c>
      <c r="K1106" s="28" t="s">
        <v>889</v>
      </c>
      <c r="M1106" s="28" t="s">
        <v>722</v>
      </c>
      <c r="N1106" s="28" t="s">
        <v>267</v>
      </c>
      <c r="Q1106" s="28" t="s">
        <v>1445</v>
      </c>
      <c r="R1106" s="28" t="s">
        <v>268</v>
      </c>
    </row>
    <row r="1107" spans="5:18" x14ac:dyDescent="0.25">
      <c r="E1107" s="28" t="s">
        <v>276</v>
      </c>
      <c r="H1107" s="28" t="s">
        <v>254</v>
      </c>
      <c r="K1107" s="28" t="s">
        <v>1079</v>
      </c>
      <c r="N1107" s="28" t="s">
        <v>268</v>
      </c>
      <c r="O1107" s="28" t="s">
        <v>908</v>
      </c>
      <c r="R1107" s="28" t="s">
        <v>267</v>
      </c>
    </row>
    <row r="1108" spans="5:18" x14ac:dyDescent="0.25">
      <c r="J1108" s="28" t="s">
        <v>285</v>
      </c>
      <c r="M1108" s="28" t="s">
        <v>160</v>
      </c>
      <c r="Q1108" s="28" t="s">
        <v>326</v>
      </c>
      <c r="R1108" s="28" t="s">
        <v>269</v>
      </c>
    </row>
    <row r="1109" spans="5:18" x14ac:dyDescent="0.25">
      <c r="E1109" s="28" t="s">
        <v>277</v>
      </c>
      <c r="H1109" s="28" t="s">
        <v>271</v>
      </c>
      <c r="K1109" s="28" t="s">
        <v>1076</v>
      </c>
      <c r="N1109" s="28" t="s">
        <v>269</v>
      </c>
      <c r="O1109" s="28" t="s">
        <v>878</v>
      </c>
      <c r="Q1109" s="28" t="s">
        <v>327</v>
      </c>
      <c r="R1109" s="28" t="s">
        <v>265</v>
      </c>
    </row>
    <row r="1110" spans="5:18" x14ac:dyDescent="0.25">
      <c r="E1110" s="28" t="s">
        <v>399</v>
      </c>
      <c r="J1110" s="28" t="s">
        <v>1040</v>
      </c>
      <c r="M1110" s="28" t="s">
        <v>160</v>
      </c>
      <c r="N1110" s="28" t="s">
        <v>270</v>
      </c>
      <c r="O1110" s="28" t="s">
        <v>705</v>
      </c>
      <c r="R1110" s="28" t="s">
        <v>254</v>
      </c>
    </row>
    <row r="1111" spans="5:18" x14ac:dyDescent="0.25">
      <c r="E1111" s="28" t="s">
        <v>429</v>
      </c>
      <c r="H1111" s="28" t="s">
        <v>273</v>
      </c>
      <c r="K1111" s="28" t="s">
        <v>160</v>
      </c>
      <c r="M1111" s="28" t="s">
        <v>212</v>
      </c>
      <c r="N1111" s="28" t="s">
        <v>268</v>
      </c>
      <c r="O1111" s="28" t="s">
        <v>1281</v>
      </c>
      <c r="Q1111" s="28" t="s">
        <v>73</v>
      </c>
    </row>
    <row r="1112" spans="5:18" x14ac:dyDescent="0.25">
      <c r="E1112" s="28" t="s">
        <v>479</v>
      </c>
      <c r="H1112" s="28" t="s">
        <v>274</v>
      </c>
      <c r="J1112" s="28" t="s">
        <v>1041</v>
      </c>
      <c r="N1112" s="28" t="s">
        <v>267</v>
      </c>
      <c r="R1112" s="28" t="s">
        <v>271</v>
      </c>
    </row>
    <row r="1113" spans="5:18" x14ac:dyDescent="0.25">
      <c r="E1113" s="28" t="s">
        <v>571</v>
      </c>
      <c r="H1113" s="28" t="s">
        <v>266</v>
      </c>
      <c r="K1113" s="28" t="s">
        <v>419</v>
      </c>
      <c r="M1113" s="28" t="s">
        <v>545</v>
      </c>
      <c r="N1113" s="28" t="s">
        <v>269</v>
      </c>
      <c r="O1113" s="28" t="s">
        <v>879</v>
      </c>
      <c r="Q1113" s="28" t="s">
        <v>906</v>
      </c>
    </row>
    <row r="1114" spans="5:18" x14ac:dyDescent="0.25">
      <c r="E1114" s="28" t="s">
        <v>242</v>
      </c>
      <c r="H1114" s="28" t="s">
        <v>275</v>
      </c>
      <c r="J1114" s="28" t="s">
        <v>424</v>
      </c>
      <c r="K1114" s="28" t="s">
        <v>545</v>
      </c>
      <c r="M1114" s="28" t="s">
        <v>160</v>
      </c>
      <c r="N1114" s="28" t="s">
        <v>265</v>
      </c>
      <c r="Q1114" s="28" t="s">
        <v>350</v>
      </c>
      <c r="R1114" s="28" t="s">
        <v>273</v>
      </c>
    </row>
    <row r="1115" spans="5:18" x14ac:dyDescent="0.25">
      <c r="J1115" s="28" t="s">
        <v>545</v>
      </c>
      <c r="N1115" s="28" t="s">
        <v>254</v>
      </c>
      <c r="O1115" s="28" t="s">
        <v>880</v>
      </c>
      <c r="R1115" s="28" t="s">
        <v>274</v>
      </c>
    </row>
    <row r="1116" spans="5:18" x14ac:dyDescent="0.25">
      <c r="E1116" s="28" t="s">
        <v>280</v>
      </c>
      <c r="H1116" s="28" t="s">
        <v>916</v>
      </c>
      <c r="K1116" s="28" t="s">
        <v>1076</v>
      </c>
      <c r="M1116" s="28" t="s">
        <v>244</v>
      </c>
      <c r="O1116" s="28" t="s">
        <v>881</v>
      </c>
      <c r="Q1116" s="28" t="s">
        <v>244</v>
      </c>
      <c r="R1116" s="28" t="s">
        <v>266</v>
      </c>
    </row>
    <row r="1117" spans="5:18" x14ac:dyDescent="0.25">
      <c r="E1117" s="28" t="s">
        <v>430</v>
      </c>
      <c r="J1117" s="28" t="s">
        <v>212</v>
      </c>
      <c r="N1117" s="28" t="s">
        <v>271</v>
      </c>
      <c r="O1117" s="28" t="s">
        <v>882</v>
      </c>
      <c r="R1117" s="28" t="s">
        <v>275</v>
      </c>
    </row>
    <row r="1118" spans="5:18" x14ac:dyDescent="0.25">
      <c r="E1118" s="28" t="s">
        <v>280</v>
      </c>
      <c r="H1118" s="28" t="s">
        <v>891</v>
      </c>
      <c r="K1118" s="28" t="s">
        <v>809</v>
      </c>
      <c r="M1118" s="28" t="s">
        <v>243</v>
      </c>
      <c r="Q1118" s="28" t="s">
        <v>1384</v>
      </c>
    </row>
    <row r="1119" spans="5:18" x14ac:dyDescent="0.25">
      <c r="E1119" s="28" t="s">
        <v>572</v>
      </c>
      <c r="H1119" s="28" t="s">
        <v>892</v>
      </c>
      <c r="J1119" s="28" t="s">
        <v>424</v>
      </c>
      <c r="K1119" s="28" t="s">
        <v>810</v>
      </c>
      <c r="N1119" s="28" t="s">
        <v>273</v>
      </c>
      <c r="O1119" s="28" t="s">
        <v>883</v>
      </c>
      <c r="R1119" s="28" t="s">
        <v>1514</v>
      </c>
    </row>
    <row r="1120" spans="5:18" x14ac:dyDescent="0.25">
      <c r="E1120" s="28" t="s">
        <v>573</v>
      </c>
      <c r="K1120" s="28" t="s">
        <v>811</v>
      </c>
      <c r="M1120" s="28" t="s">
        <v>1105</v>
      </c>
      <c r="N1120" s="28" t="s">
        <v>274</v>
      </c>
      <c r="Q1120" s="28" t="s">
        <v>1385</v>
      </c>
    </row>
    <row r="1121" spans="5:18" x14ac:dyDescent="0.25">
      <c r="E1121" s="28" t="s">
        <v>574</v>
      </c>
      <c r="H1121" s="28" t="s">
        <v>779</v>
      </c>
      <c r="J1121" s="28" t="s">
        <v>419</v>
      </c>
      <c r="K1121" s="28" t="s">
        <v>812</v>
      </c>
      <c r="M1121" s="28" t="s">
        <v>927</v>
      </c>
      <c r="N1121" s="28" t="s">
        <v>266</v>
      </c>
      <c r="O1121" s="28" t="s">
        <v>884</v>
      </c>
      <c r="R1121" s="28" t="s">
        <v>1516</v>
      </c>
    </row>
    <row r="1122" spans="5:18" x14ac:dyDescent="0.25">
      <c r="H1122" s="28" t="s">
        <v>778</v>
      </c>
      <c r="J1122" s="28" t="s">
        <v>545</v>
      </c>
      <c r="K1122" s="28" t="s">
        <v>809</v>
      </c>
      <c r="N1122" s="28" t="s">
        <v>275</v>
      </c>
      <c r="Q1122" s="28" t="s">
        <v>1386</v>
      </c>
    </row>
    <row r="1123" spans="5:18" x14ac:dyDescent="0.25">
      <c r="E1123" s="28" t="s">
        <v>283</v>
      </c>
      <c r="K1123" s="28" t="s">
        <v>813</v>
      </c>
      <c r="M1123" s="28" t="s">
        <v>722</v>
      </c>
      <c r="O1123" s="28" t="s">
        <v>885</v>
      </c>
      <c r="R1123" s="28" t="s">
        <v>927</v>
      </c>
    </row>
    <row r="1124" spans="5:18" x14ac:dyDescent="0.25">
      <c r="H1124" s="28" t="s">
        <v>922</v>
      </c>
      <c r="J1124" s="28" t="s">
        <v>285</v>
      </c>
      <c r="K1124" s="28" t="s">
        <v>811</v>
      </c>
      <c r="N1124" s="28" t="s">
        <v>891</v>
      </c>
      <c r="Q1124" s="28" t="s">
        <v>245</v>
      </c>
    </row>
    <row r="1125" spans="5:18" x14ac:dyDescent="0.25">
      <c r="E1125" s="28" t="s">
        <v>283</v>
      </c>
      <c r="K1125" s="28" t="s">
        <v>814</v>
      </c>
      <c r="M1125" s="28" t="s">
        <v>809</v>
      </c>
      <c r="N1125" s="28" t="s">
        <v>892</v>
      </c>
      <c r="O1125" s="28" t="s">
        <v>687</v>
      </c>
      <c r="Q1125" s="28" t="s">
        <v>246</v>
      </c>
      <c r="R1125" s="28" t="s">
        <v>891</v>
      </c>
    </row>
    <row r="1126" spans="5:18" x14ac:dyDescent="0.25">
      <c r="H1126" s="28" t="s">
        <v>785</v>
      </c>
      <c r="J1126" s="28" t="s">
        <v>1042</v>
      </c>
      <c r="K1126" s="28" t="s">
        <v>815</v>
      </c>
      <c r="M1126" s="28" t="s">
        <v>810</v>
      </c>
      <c r="O1126" s="28" t="s">
        <v>1286</v>
      </c>
      <c r="Q1126" s="28" t="s">
        <v>247</v>
      </c>
      <c r="R1126" s="28" t="s">
        <v>892</v>
      </c>
    </row>
    <row r="1127" spans="5:18" x14ac:dyDescent="0.25">
      <c r="E1127" s="28" t="s">
        <v>160</v>
      </c>
      <c r="J1127" s="28" t="s">
        <v>930</v>
      </c>
      <c r="K1127" s="28" t="s">
        <v>809</v>
      </c>
      <c r="M1127" s="28" t="s">
        <v>811</v>
      </c>
      <c r="N1127" s="28" t="s">
        <v>779</v>
      </c>
      <c r="Q1127" s="28" t="s">
        <v>248</v>
      </c>
    </row>
    <row r="1128" spans="5:18" x14ac:dyDescent="0.25">
      <c r="H1128" s="28" t="s">
        <v>894</v>
      </c>
      <c r="J1128" s="28" t="s">
        <v>1043</v>
      </c>
      <c r="K1128" s="28" t="s">
        <v>816</v>
      </c>
      <c r="M1128" s="28" t="s">
        <v>812</v>
      </c>
      <c r="N1128" s="28" t="s">
        <v>778</v>
      </c>
      <c r="O1128" s="28" t="s">
        <v>886</v>
      </c>
      <c r="Q1128" s="28" t="s">
        <v>245</v>
      </c>
      <c r="R1128" s="28" t="s">
        <v>779</v>
      </c>
    </row>
    <row r="1129" spans="5:18" x14ac:dyDescent="0.25">
      <c r="E1129" s="28" t="s">
        <v>160</v>
      </c>
      <c r="M1129" s="28" t="s">
        <v>809</v>
      </c>
      <c r="Q1129" s="28" t="s">
        <v>249</v>
      </c>
      <c r="R1129" s="28" t="s">
        <v>778</v>
      </c>
    </row>
    <row r="1130" spans="5:18" x14ac:dyDescent="0.25">
      <c r="E1130" s="28" t="s">
        <v>244</v>
      </c>
      <c r="H1130" s="28" t="s">
        <v>895</v>
      </c>
      <c r="J1130" s="28" t="s">
        <v>160</v>
      </c>
      <c r="K1130" s="28" t="s">
        <v>909</v>
      </c>
      <c r="M1130" s="28" t="s">
        <v>813</v>
      </c>
      <c r="N1130" s="28" t="s">
        <v>1241</v>
      </c>
      <c r="O1130" s="28" t="s">
        <v>205</v>
      </c>
      <c r="Q1130" s="28" t="s">
        <v>247</v>
      </c>
    </row>
    <row r="1131" spans="5:18" x14ac:dyDescent="0.25">
      <c r="E1131" s="28" t="s">
        <v>284</v>
      </c>
      <c r="K1131" s="28" t="s">
        <v>910</v>
      </c>
      <c r="M1131" s="28" t="s">
        <v>811</v>
      </c>
      <c r="Q1131" s="28" t="s">
        <v>250</v>
      </c>
      <c r="R1131" s="28" t="s">
        <v>1517</v>
      </c>
    </row>
    <row r="1132" spans="5:18" x14ac:dyDescent="0.25">
      <c r="H1132" s="28" t="s">
        <v>896</v>
      </c>
      <c r="J1132" s="28" t="s">
        <v>424</v>
      </c>
      <c r="M1132" s="28" t="s">
        <v>814</v>
      </c>
      <c r="N1132" s="28" t="s">
        <v>785</v>
      </c>
      <c r="O1132" s="28" t="s">
        <v>887</v>
      </c>
      <c r="Q1132" s="28" t="s">
        <v>251</v>
      </c>
    </row>
    <row r="1133" spans="5:18" x14ac:dyDescent="0.25">
      <c r="E1133" s="28" t="s">
        <v>286</v>
      </c>
      <c r="K1133" s="28" t="s">
        <v>810</v>
      </c>
      <c r="M1133" s="28" t="s">
        <v>815</v>
      </c>
      <c r="O1133" s="28" t="s">
        <v>888</v>
      </c>
      <c r="Q1133" s="28" t="s">
        <v>245</v>
      </c>
      <c r="R1133" s="28" t="s">
        <v>77</v>
      </c>
    </row>
    <row r="1134" spans="5:18" x14ac:dyDescent="0.25">
      <c r="H1134" s="28" t="s">
        <v>897</v>
      </c>
      <c r="J1134" s="28" t="s">
        <v>891</v>
      </c>
      <c r="M1134" s="28" t="s">
        <v>809</v>
      </c>
      <c r="N1134" s="28" t="s">
        <v>894</v>
      </c>
      <c r="O1134" s="28" t="s">
        <v>1288</v>
      </c>
      <c r="Q1134" s="28" t="s">
        <v>252</v>
      </c>
    </row>
    <row r="1135" spans="5:18" x14ac:dyDescent="0.25">
      <c r="E1135" s="28" t="s">
        <v>287</v>
      </c>
      <c r="J1135" s="28" t="s">
        <v>892</v>
      </c>
      <c r="K1135" s="28" t="s">
        <v>811</v>
      </c>
      <c r="M1135" s="28" t="s">
        <v>816</v>
      </c>
      <c r="R1135" s="28" t="s">
        <v>1512</v>
      </c>
    </row>
    <row r="1136" spans="5:18" x14ac:dyDescent="0.25">
      <c r="E1136" s="28" t="s">
        <v>288</v>
      </c>
      <c r="H1136" s="28" t="s">
        <v>898</v>
      </c>
      <c r="K1136" s="28" t="s">
        <v>820</v>
      </c>
      <c r="N1136" s="28" t="s">
        <v>895</v>
      </c>
      <c r="O1136" s="28" t="s">
        <v>889</v>
      </c>
      <c r="Q1136" s="28" t="s">
        <v>253</v>
      </c>
    </row>
    <row r="1137" spans="5:18" x14ac:dyDescent="0.25">
      <c r="J1137" s="28" t="s">
        <v>779</v>
      </c>
      <c r="K1137" s="28" t="s">
        <v>821</v>
      </c>
      <c r="M1137" s="28" t="s">
        <v>909</v>
      </c>
      <c r="O1137" s="28" t="s">
        <v>1288</v>
      </c>
      <c r="R1137" s="28" t="s">
        <v>786</v>
      </c>
    </row>
    <row r="1138" spans="5:18" x14ac:dyDescent="0.25">
      <c r="E1138" s="28" t="s">
        <v>289</v>
      </c>
      <c r="H1138" s="28" t="s">
        <v>899</v>
      </c>
      <c r="J1138" s="28" t="s">
        <v>778</v>
      </c>
      <c r="M1138" s="28" t="s">
        <v>910</v>
      </c>
      <c r="N1138" s="28" t="s">
        <v>896</v>
      </c>
      <c r="Q1138" s="28" t="s">
        <v>254</v>
      </c>
    </row>
    <row r="1139" spans="5:18" x14ac:dyDescent="0.25">
      <c r="K1139" s="28" t="s">
        <v>811</v>
      </c>
      <c r="O1139" s="28" t="s">
        <v>1280</v>
      </c>
      <c r="Q1139" s="28" t="s">
        <v>255</v>
      </c>
      <c r="R1139" s="28" t="s">
        <v>1383</v>
      </c>
    </row>
    <row r="1140" spans="5:18" x14ac:dyDescent="0.25">
      <c r="E1140" s="28" t="s">
        <v>458</v>
      </c>
      <c r="H1140" s="28" t="s">
        <v>900</v>
      </c>
      <c r="J1140" s="28" t="s">
        <v>1044</v>
      </c>
      <c r="K1140" s="28" t="s">
        <v>822</v>
      </c>
      <c r="M1140" s="28" t="s">
        <v>810</v>
      </c>
      <c r="N1140" s="28" t="s">
        <v>897</v>
      </c>
      <c r="Q1140" s="28" t="s">
        <v>248</v>
      </c>
      <c r="R1140" s="28" t="s">
        <v>1497</v>
      </c>
    </row>
    <row r="1141" spans="5:18" x14ac:dyDescent="0.25">
      <c r="E1141" s="28" t="s">
        <v>459</v>
      </c>
      <c r="K1141" s="28" t="s">
        <v>811</v>
      </c>
      <c r="O1141" s="28" t="s">
        <v>160</v>
      </c>
      <c r="Q1141" s="28" t="s">
        <v>246</v>
      </c>
    </row>
    <row r="1142" spans="5:18" x14ac:dyDescent="0.25">
      <c r="E1142" s="28" t="s">
        <v>460</v>
      </c>
      <c r="H1142" s="28" t="s">
        <v>901</v>
      </c>
      <c r="J1142" s="28" t="s">
        <v>785</v>
      </c>
      <c r="M1142" s="28" t="s">
        <v>811</v>
      </c>
      <c r="N1142" s="28" t="s">
        <v>898</v>
      </c>
      <c r="Q1142" s="28" t="s">
        <v>256</v>
      </c>
      <c r="R1142" s="28" t="s">
        <v>326</v>
      </c>
    </row>
    <row r="1143" spans="5:18" x14ac:dyDescent="0.25">
      <c r="E1143" s="28" t="s">
        <v>461</v>
      </c>
      <c r="K1143" s="28" t="s">
        <v>911</v>
      </c>
      <c r="M1143" s="28" t="s">
        <v>820</v>
      </c>
      <c r="O1143" s="28" t="s">
        <v>419</v>
      </c>
      <c r="R1143" s="28" t="s">
        <v>327</v>
      </c>
    </row>
    <row r="1144" spans="5:18" x14ac:dyDescent="0.25">
      <c r="E1144" s="28" t="s">
        <v>462</v>
      </c>
      <c r="H1144" s="28" t="s">
        <v>902</v>
      </c>
      <c r="J1144" s="28" t="s">
        <v>894</v>
      </c>
      <c r="M1144" s="28" t="s">
        <v>821</v>
      </c>
      <c r="N1144" s="28" t="s">
        <v>899</v>
      </c>
      <c r="O1144" s="28" t="s">
        <v>285</v>
      </c>
      <c r="Q1144" s="28" t="s">
        <v>254</v>
      </c>
    </row>
    <row r="1145" spans="5:18" x14ac:dyDescent="0.25">
      <c r="E1145" s="28" t="s">
        <v>463</v>
      </c>
      <c r="K1145" s="28" t="s">
        <v>823</v>
      </c>
      <c r="O1145" s="28" t="s">
        <v>545</v>
      </c>
      <c r="Q1145" s="28" t="s">
        <v>255</v>
      </c>
      <c r="R1145" s="28" t="s">
        <v>73</v>
      </c>
    </row>
    <row r="1146" spans="5:18" x14ac:dyDescent="0.25">
      <c r="E1146" s="28" t="s">
        <v>464</v>
      </c>
      <c r="H1146" s="28" t="s">
        <v>903</v>
      </c>
      <c r="J1146" s="28" t="s">
        <v>895</v>
      </c>
      <c r="K1146" s="28" t="s">
        <v>809</v>
      </c>
      <c r="M1146" s="28" t="s">
        <v>811</v>
      </c>
      <c r="N1146" s="28" t="s">
        <v>900</v>
      </c>
      <c r="O1146" s="28" t="s">
        <v>160</v>
      </c>
    </row>
    <row r="1147" spans="5:18" x14ac:dyDescent="0.25">
      <c r="K1147" s="28" t="s">
        <v>826</v>
      </c>
      <c r="M1147" s="28" t="s">
        <v>822</v>
      </c>
      <c r="Q1147" s="28" t="s">
        <v>257</v>
      </c>
      <c r="R1147" s="28" t="s">
        <v>906</v>
      </c>
    </row>
    <row r="1148" spans="5:18" x14ac:dyDescent="0.25">
      <c r="E1148" s="28" t="s">
        <v>296</v>
      </c>
      <c r="H1148" s="28" t="s">
        <v>77</v>
      </c>
      <c r="J1148" s="28" t="s">
        <v>896</v>
      </c>
      <c r="M1148" s="28" t="s">
        <v>811</v>
      </c>
      <c r="N1148" s="28" t="s">
        <v>901</v>
      </c>
      <c r="O1148" s="28" t="s">
        <v>446</v>
      </c>
      <c r="Q1148" s="28" t="s">
        <v>247</v>
      </c>
      <c r="R1148" s="28" t="s">
        <v>350</v>
      </c>
    </row>
    <row r="1149" spans="5:18" x14ac:dyDescent="0.25">
      <c r="E1149" s="28" t="s">
        <v>297</v>
      </c>
      <c r="K1149" s="28" t="s">
        <v>827</v>
      </c>
      <c r="Q1149" s="28" t="s">
        <v>258</v>
      </c>
    </row>
    <row r="1150" spans="5:18" x14ac:dyDescent="0.25">
      <c r="E1150" s="28" t="s">
        <v>466</v>
      </c>
      <c r="H1150" s="28" t="s">
        <v>904</v>
      </c>
      <c r="J1150" s="28" t="s">
        <v>897</v>
      </c>
      <c r="K1150" s="28" t="s">
        <v>823</v>
      </c>
      <c r="M1150" s="28" t="s">
        <v>911</v>
      </c>
      <c r="N1150" s="28" t="s">
        <v>902</v>
      </c>
      <c r="O1150" s="28" t="s">
        <v>1280</v>
      </c>
      <c r="Q1150" s="28" t="s">
        <v>259</v>
      </c>
      <c r="R1150" s="28" t="s">
        <v>285</v>
      </c>
    </row>
    <row r="1151" spans="5:18" x14ac:dyDescent="0.25">
      <c r="E1151" s="28" t="s">
        <v>467</v>
      </c>
      <c r="K1151" s="28" t="s">
        <v>809</v>
      </c>
    </row>
    <row r="1152" spans="5:18" x14ac:dyDescent="0.25">
      <c r="E1152" s="28" t="s">
        <v>468</v>
      </c>
      <c r="H1152" s="28" t="s">
        <v>780</v>
      </c>
      <c r="J1152" s="28" t="s">
        <v>898</v>
      </c>
      <c r="M1152" s="28" t="s">
        <v>823</v>
      </c>
      <c r="N1152" s="28" t="s">
        <v>903</v>
      </c>
      <c r="O1152" s="28" t="s">
        <v>809</v>
      </c>
      <c r="Q1152" s="28" t="s">
        <v>247</v>
      </c>
      <c r="R1152" s="28" t="s">
        <v>1384</v>
      </c>
    </row>
    <row r="1153" spans="5:18" x14ac:dyDescent="0.25">
      <c r="E1153" s="28" t="s">
        <v>469</v>
      </c>
      <c r="K1153" s="28" t="s">
        <v>912</v>
      </c>
      <c r="M1153" s="28" t="s">
        <v>809</v>
      </c>
      <c r="O1153" s="28" t="s">
        <v>810</v>
      </c>
      <c r="Q1153" s="28" t="s">
        <v>260</v>
      </c>
    </row>
    <row r="1154" spans="5:18" x14ac:dyDescent="0.25">
      <c r="E1154" s="28" t="s">
        <v>470</v>
      </c>
      <c r="H1154" s="28" t="s">
        <v>905</v>
      </c>
      <c r="J1154" s="28" t="s">
        <v>899</v>
      </c>
      <c r="M1154" s="28" t="s">
        <v>826</v>
      </c>
      <c r="N1154" s="28" t="s">
        <v>1242</v>
      </c>
      <c r="O1154" s="28" t="s">
        <v>811</v>
      </c>
      <c r="Q1154" s="28" t="s">
        <v>247</v>
      </c>
      <c r="R1154" s="28" t="s">
        <v>1385</v>
      </c>
    </row>
    <row r="1155" spans="5:18" x14ac:dyDescent="0.25">
      <c r="E1155" s="28" t="s">
        <v>471</v>
      </c>
      <c r="H1155" s="28" t="s">
        <v>758</v>
      </c>
      <c r="K1155" s="28" t="s">
        <v>810</v>
      </c>
      <c r="O1155" s="28" t="s">
        <v>812</v>
      </c>
      <c r="Q1155" s="28" t="s">
        <v>261</v>
      </c>
    </row>
    <row r="1156" spans="5:18" x14ac:dyDescent="0.25">
      <c r="E1156" s="28" t="s">
        <v>472</v>
      </c>
      <c r="J1156" s="28" t="s">
        <v>900</v>
      </c>
      <c r="K1156" s="28" t="s">
        <v>818</v>
      </c>
      <c r="M1156" s="28" t="s">
        <v>827</v>
      </c>
      <c r="N1156" s="28" t="s">
        <v>77</v>
      </c>
      <c r="O1156" s="28" t="s">
        <v>809</v>
      </c>
      <c r="Q1156" s="28" t="s">
        <v>254</v>
      </c>
      <c r="R1156" s="28" t="s">
        <v>1386</v>
      </c>
    </row>
    <row r="1157" spans="5:18" x14ac:dyDescent="0.25">
      <c r="H1157" s="28" t="s">
        <v>326</v>
      </c>
      <c r="M1157" s="28" t="s">
        <v>823</v>
      </c>
      <c r="O1157" s="28" t="s">
        <v>813</v>
      </c>
    </row>
    <row r="1158" spans="5:18" x14ac:dyDescent="0.25">
      <c r="E1158" s="28" t="s">
        <v>306</v>
      </c>
      <c r="H1158" s="28" t="s">
        <v>899</v>
      </c>
      <c r="J1158" s="28" t="s">
        <v>901</v>
      </c>
      <c r="K1158" s="28" t="s">
        <v>265</v>
      </c>
      <c r="M1158" s="28" t="s">
        <v>809</v>
      </c>
      <c r="N1158" s="28" t="s">
        <v>972</v>
      </c>
      <c r="O1158" s="28" t="s">
        <v>811</v>
      </c>
      <c r="Q1158" s="28" t="s">
        <v>262</v>
      </c>
      <c r="R1158" s="28" t="s">
        <v>1371</v>
      </c>
    </row>
    <row r="1159" spans="5:18" x14ac:dyDescent="0.25">
      <c r="K1159" s="28" t="s">
        <v>266</v>
      </c>
      <c r="O1159" s="28" t="s">
        <v>814</v>
      </c>
      <c r="R1159" s="28" t="s">
        <v>194</v>
      </c>
    </row>
    <row r="1160" spans="5:18" x14ac:dyDescent="0.25">
      <c r="E1160" s="28" t="s">
        <v>307</v>
      </c>
      <c r="H1160" s="28" t="s">
        <v>73</v>
      </c>
      <c r="J1160" s="28" t="s">
        <v>902</v>
      </c>
      <c r="K1160" s="28" t="s">
        <v>267</v>
      </c>
      <c r="M1160" s="28" t="s">
        <v>912</v>
      </c>
      <c r="N1160" s="28" t="s">
        <v>905</v>
      </c>
      <c r="O1160" s="28" t="s">
        <v>815</v>
      </c>
      <c r="Q1160" s="28" t="s">
        <v>254</v>
      </c>
    </row>
    <row r="1161" spans="5:18" x14ac:dyDescent="0.25">
      <c r="E1161" s="28" t="s">
        <v>308</v>
      </c>
      <c r="K1161" s="28" t="s">
        <v>268</v>
      </c>
      <c r="N1161" s="28" t="s">
        <v>1187</v>
      </c>
      <c r="O1161" s="28" t="s">
        <v>809</v>
      </c>
      <c r="Q1161" s="28" t="s">
        <v>255</v>
      </c>
      <c r="R1161" s="28" t="s">
        <v>190</v>
      </c>
    </row>
    <row r="1162" spans="5:18" x14ac:dyDescent="0.25">
      <c r="E1162" s="28" t="s">
        <v>309</v>
      </c>
      <c r="H1162" s="28" t="s">
        <v>906</v>
      </c>
      <c r="J1162" s="28" t="s">
        <v>903</v>
      </c>
      <c r="M1162" s="28" t="s">
        <v>810</v>
      </c>
      <c r="O1162" s="28" t="s">
        <v>816</v>
      </c>
      <c r="Q1162" s="28" t="s">
        <v>263</v>
      </c>
    </row>
    <row r="1163" spans="5:18" x14ac:dyDescent="0.25">
      <c r="E1163" s="28" t="s">
        <v>310</v>
      </c>
      <c r="H1163" s="28" t="s">
        <v>907</v>
      </c>
      <c r="K1163" s="28" t="s">
        <v>269</v>
      </c>
      <c r="M1163" s="28" t="s">
        <v>818</v>
      </c>
      <c r="N1163" s="28" t="s">
        <v>326</v>
      </c>
      <c r="Q1163" s="28" t="s">
        <v>261</v>
      </c>
      <c r="R1163" s="28" t="s">
        <v>1372</v>
      </c>
    </row>
    <row r="1164" spans="5:18" x14ac:dyDescent="0.25">
      <c r="E1164" s="28" t="s">
        <v>311</v>
      </c>
      <c r="J1164" s="28" t="s">
        <v>77</v>
      </c>
      <c r="K1164" s="28" t="s">
        <v>270</v>
      </c>
      <c r="N1164" s="28" t="s">
        <v>899</v>
      </c>
      <c r="O1164" s="28" t="s">
        <v>909</v>
      </c>
      <c r="Q1164" s="28" t="s">
        <v>245</v>
      </c>
    </row>
    <row r="1165" spans="5:18" x14ac:dyDescent="0.25">
      <c r="E1165" s="28" t="s">
        <v>312</v>
      </c>
      <c r="H1165" s="28" t="s">
        <v>244</v>
      </c>
      <c r="K1165" s="28" t="s">
        <v>268</v>
      </c>
      <c r="M1165" s="28" t="s">
        <v>265</v>
      </c>
      <c r="O1165" s="28" t="s">
        <v>910</v>
      </c>
      <c r="Q1165" s="28" t="s">
        <v>264</v>
      </c>
      <c r="R1165" s="28" t="s">
        <v>885</v>
      </c>
    </row>
    <row r="1166" spans="5:18" x14ac:dyDescent="0.25">
      <c r="J1166" s="28" t="s">
        <v>904</v>
      </c>
      <c r="K1166" s="28" t="s">
        <v>267</v>
      </c>
      <c r="M1166" s="28" t="s">
        <v>266</v>
      </c>
      <c r="N1166" s="28" t="s">
        <v>82</v>
      </c>
    </row>
    <row r="1167" spans="5:18" x14ac:dyDescent="0.25">
      <c r="E1167" s="28" t="s">
        <v>313</v>
      </c>
      <c r="H1167" s="28" t="s">
        <v>908</v>
      </c>
      <c r="K1167" s="28" t="s">
        <v>269</v>
      </c>
      <c r="M1167" s="28" t="s">
        <v>267</v>
      </c>
      <c r="O1167" s="28" t="s">
        <v>810</v>
      </c>
      <c r="Q1167" s="28" t="s">
        <v>255</v>
      </c>
      <c r="R1167" s="28" t="s">
        <v>687</v>
      </c>
    </row>
    <row r="1168" spans="5:18" x14ac:dyDescent="0.25">
      <c r="E1168" s="28" t="s">
        <v>314</v>
      </c>
      <c r="J1168" s="28" t="s">
        <v>780</v>
      </c>
      <c r="K1168" s="28" t="s">
        <v>265</v>
      </c>
      <c r="M1168" s="28" t="s">
        <v>268</v>
      </c>
      <c r="N1168" s="28" t="s">
        <v>906</v>
      </c>
    </row>
    <row r="1169" spans="5:18" x14ac:dyDescent="0.25">
      <c r="H1169" s="28" t="s">
        <v>878</v>
      </c>
      <c r="K1169" s="28" t="s">
        <v>254</v>
      </c>
      <c r="N1169" s="28" t="s">
        <v>907</v>
      </c>
      <c r="O1169" s="28" t="s">
        <v>811</v>
      </c>
      <c r="Q1169" s="28" t="s">
        <v>250</v>
      </c>
      <c r="R1169" s="28" t="s">
        <v>1373</v>
      </c>
    </row>
    <row r="1170" spans="5:18" x14ac:dyDescent="0.25">
      <c r="E1170" s="28" t="s">
        <v>315</v>
      </c>
      <c r="H1170" s="28" t="s">
        <v>705</v>
      </c>
      <c r="J1170" s="28" t="s">
        <v>905</v>
      </c>
      <c r="M1170" s="28" t="s">
        <v>269</v>
      </c>
      <c r="O1170" s="28" t="s">
        <v>820</v>
      </c>
      <c r="Q1170" s="28" t="s">
        <v>261</v>
      </c>
    </row>
    <row r="1171" spans="5:18" x14ac:dyDescent="0.25">
      <c r="H1171" s="28" t="s">
        <v>656</v>
      </c>
      <c r="J1171" s="28" t="s">
        <v>1017</v>
      </c>
      <c r="K1171" s="28" t="s">
        <v>271</v>
      </c>
      <c r="M1171" s="28" t="s">
        <v>270</v>
      </c>
      <c r="N1171" s="28" t="s">
        <v>212</v>
      </c>
      <c r="O1171" s="28" t="s">
        <v>821</v>
      </c>
      <c r="Q1171" s="28" t="s">
        <v>245</v>
      </c>
      <c r="R1171" s="28" t="s">
        <v>1484</v>
      </c>
    </row>
    <row r="1172" spans="5:18" x14ac:dyDescent="0.25">
      <c r="E1172" s="28" t="s">
        <v>316</v>
      </c>
      <c r="M1172" s="28" t="s">
        <v>268</v>
      </c>
      <c r="Q1172" s="28" t="s">
        <v>263</v>
      </c>
    </row>
    <row r="1173" spans="5:18" x14ac:dyDescent="0.25">
      <c r="E1173" s="28" t="s">
        <v>316</v>
      </c>
      <c r="H1173" s="28" t="s">
        <v>914</v>
      </c>
      <c r="J1173" s="28" t="s">
        <v>326</v>
      </c>
      <c r="K1173" s="28" t="s">
        <v>273</v>
      </c>
      <c r="M1173" s="28" t="s">
        <v>267</v>
      </c>
      <c r="N1173" s="28" t="s">
        <v>908</v>
      </c>
      <c r="O1173" s="28" t="s">
        <v>811</v>
      </c>
      <c r="Q1173" s="28" t="s">
        <v>254</v>
      </c>
      <c r="R1173" s="28" t="s">
        <v>1014</v>
      </c>
    </row>
    <row r="1174" spans="5:18" x14ac:dyDescent="0.25">
      <c r="E1174" s="28" t="s">
        <v>317</v>
      </c>
      <c r="J1174" s="28" t="s">
        <v>899</v>
      </c>
      <c r="K1174" s="28" t="s">
        <v>274</v>
      </c>
      <c r="M1174" s="28" t="s">
        <v>269</v>
      </c>
      <c r="O1174" s="28" t="s">
        <v>822</v>
      </c>
      <c r="Q1174" s="28" t="s">
        <v>253</v>
      </c>
    </row>
    <row r="1175" spans="5:18" x14ac:dyDescent="0.25">
      <c r="E1175" s="28" t="s">
        <v>318</v>
      </c>
      <c r="H1175" s="28" t="s">
        <v>880</v>
      </c>
      <c r="K1175" s="28" t="s">
        <v>266</v>
      </c>
      <c r="M1175" s="28" t="s">
        <v>265</v>
      </c>
      <c r="N1175" s="28" t="s">
        <v>878</v>
      </c>
      <c r="O1175" s="28" t="s">
        <v>811</v>
      </c>
      <c r="R1175" s="28" t="s">
        <v>1374</v>
      </c>
    </row>
    <row r="1176" spans="5:18" x14ac:dyDescent="0.25">
      <c r="E1176" s="28" t="s">
        <v>319</v>
      </c>
      <c r="H1176" s="28" t="s">
        <v>881</v>
      </c>
      <c r="J1176" s="28" t="s">
        <v>73</v>
      </c>
      <c r="K1176" s="28" t="s">
        <v>275</v>
      </c>
      <c r="M1176" s="28" t="s">
        <v>254</v>
      </c>
      <c r="N1176" s="28" t="s">
        <v>705</v>
      </c>
      <c r="Q1176" s="28" t="s">
        <v>254</v>
      </c>
      <c r="R1176" s="28" t="s">
        <v>882</v>
      </c>
    </row>
    <row r="1177" spans="5:18" x14ac:dyDescent="0.25">
      <c r="E1177" s="28" t="s">
        <v>316</v>
      </c>
      <c r="H1177" s="28" t="s">
        <v>882</v>
      </c>
      <c r="N1177" s="28" t="s">
        <v>1171</v>
      </c>
      <c r="O1177" s="28" t="s">
        <v>911</v>
      </c>
      <c r="Q1177" s="28" t="s">
        <v>255</v>
      </c>
    </row>
    <row r="1178" spans="5:18" x14ac:dyDescent="0.25">
      <c r="J1178" s="28" t="s">
        <v>906</v>
      </c>
      <c r="K1178" s="28" t="s">
        <v>891</v>
      </c>
      <c r="M1178" s="28" t="s">
        <v>271</v>
      </c>
      <c r="Q1178" s="28" t="s">
        <v>248</v>
      </c>
      <c r="R1178" s="28" t="s">
        <v>205</v>
      </c>
    </row>
    <row r="1179" spans="5:18" x14ac:dyDescent="0.25">
      <c r="E1179" s="28" t="s">
        <v>320</v>
      </c>
      <c r="H1179" s="28" t="s">
        <v>883</v>
      </c>
      <c r="J1179" s="28" t="s">
        <v>907</v>
      </c>
      <c r="K1179" s="28" t="s">
        <v>892</v>
      </c>
      <c r="N1179" s="28" t="s">
        <v>914</v>
      </c>
      <c r="O1179" s="28" t="s">
        <v>823</v>
      </c>
      <c r="Q1179" s="28" t="s">
        <v>246</v>
      </c>
    </row>
    <row r="1180" spans="5:18" x14ac:dyDescent="0.25">
      <c r="M1180" s="28" t="s">
        <v>273</v>
      </c>
      <c r="O1180" s="28" t="s">
        <v>809</v>
      </c>
      <c r="Q1180" s="28" t="s">
        <v>256</v>
      </c>
      <c r="R1180" s="28" t="s">
        <v>160</v>
      </c>
    </row>
    <row r="1181" spans="5:18" x14ac:dyDescent="0.25">
      <c r="E1181" s="28" t="s">
        <v>321</v>
      </c>
      <c r="H1181" s="28" t="s">
        <v>884</v>
      </c>
      <c r="J1181" s="28" t="s">
        <v>244</v>
      </c>
      <c r="K1181" s="28" t="s">
        <v>779</v>
      </c>
      <c r="M1181" s="28" t="s">
        <v>274</v>
      </c>
      <c r="N1181" s="28" t="s">
        <v>880</v>
      </c>
      <c r="O1181" s="28" t="s">
        <v>826</v>
      </c>
    </row>
    <row r="1182" spans="5:18" x14ac:dyDescent="0.25">
      <c r="K1182" s="28" t="s">
        <v>778</v>
      </c>
      <c r="M1182" s="28" t="s">
        <v>266</v>
      </c>
      <c r="N1182" s="28" t="s">
        <v>881</v>
      </c>
      <c r="Q1182" s="28" t="s">
        <v>265</v>
      </c>
      <c r="R1182" s="28" t="s">
        <v>1375</v>
      </c>
    </row>
    <row r="1183" spans="5:18" x14ac:dyDescent="0.25">
      <c r="E1183" s="28" t="s">
        <v>322</v>
      </c>
      <c r="H1183" s="28" t="s">
        <v>885</v>
      </c>
      <c r="J1183" s="28" t="s">
        <v>933</v>
      </c>
      <c r="M1183" s="28" t="s">
        <v>275</v>
      </c>
      <c r="N1183" s="28" t="s">
        <v>882</v>
      </c>
      <c r="O1183" s="28" t="s">
        <v>827</v>
      </c>
      <c r="Q1183" s="28" t="s">
        <v>266</v>
      </c>
      <c r="R1183" s="28" t="s">
        <v>1376</v>
      </c>
    </row>
    <row r="1184" spans="5:18" x14ac:dyDescent="0.25">
      <c r="E1184" s="28" t="s">
        <v>323</v>
      </c>
      <c r="K1184" s="28" t="s">
        <v>1109</v>
      </c>
      <c r="O1184" s="28" t="s">
        <v>823</v>
      </c>
      <c r="Q1184" s="28" t="s">
        <v>267</v>
      </c>
    </row>
    <row r="1185" spans="5:18" x14ac:dyDescent="0.25">
      <c r="H1185" s="28" t="s">
        <v>687</v>
      </c>
      <c r="J1185" s="28" t="s">
        <v>809</v>
      </c>
      <c r="M1185" s="28" t="s">
        <v>891</v>
      </c>
      <c r="N1185" s="28" t="s">
        <v>883</v>
      </c>
      <c r="O1185" s="28" t="s">
        <v>809</v>
      </c>
      <c r="Q1185" s="28" t="s">
        <v>268</v>
      </c>
      <c r="R1185" s="28" t="s">
        <v>689</v>
      </c>
    </row>
    <row r="1186" spans="5:18" x14ac:dyDescent="0.25">
      <c r="E1186" s="28" t="s">
        <v>474</v>
      </c>
      <c r="H1186" s="28" t="s">
        <v>712</v>
      </c>
      <c r="J1186" s="28" t="s">
        <v>810</v>
      </c>
      <c r="K1186" s="28" t="s">
        <v>785</v>
      </c>
      <c r="M1186" s="28" t="s">
        <v>892</v>
      </c>
    </row>
    <row r="1187" spans="5:18" x14ac:dyDescent="0.25">
      <c r="E1187" s="28" t="s">
        <v>325</v>
      </c>
      <c r="J1187" s="28" t="s">
        <v>811</v>
      </c>
      <c r="N1187" s="28" t="s">
        <v>884</v>
      </c>
      <c r="O1187" s="28" t="s">
        <v>912</v>
      </c>
      <c r="Q1187" s="28" t="s">
        <v>269</v>
      </c>
      <c r="R1187" s="28" t="s">
        <v>1487</v>
      </c>
    </row>
    <row r="1188" spans="5:18" x14ac:dyDescent="0.25">
      <c r="H1188" s="28" t="s">
        <v>886</v>
      </c>
      <c r="J1188" s="28" t="s">
        <v>812</v>
      </c>
      <c r="K1188" s="28" t="s">
        <v>894</v>
      </c>
      <c r="M1188" s="28" t="s">
        <v>779</v>
      </c>
      <c r="Q1188" s="28" t="s">
        <v>270</v>
      </c>
    </row>
    <row r="1189" spans="5:18" x14ac:dyDescent="0.25">
      <c r="E1189" s="28" t="s">
        <v>43</v>
      </c>
      <c r="J1189" s="28" t="s">
        <v>809</v>
      </c>
      <c r="M1189" s="28" t="s">
        <v>778</v>
      </c>
      <c r="N1189" s="28" t="s">
        <v>885</v>
      </c>
      <c r="O1189" s="28" t="s">
        <v>810</v>
      </c>
      <c r="Q1189" s="28" t="s">
        <v>268</v>
      </c>
      <c r="R1189" s="28" t="s">
        <v>1487</v>
      </c>
    </row>
    <row r="1190" spans="5:18" x14ac:dyDescent="0.25">
      <c r="E1190" s="28" t="s">
        <v>326</v>
      </c>
      <c r="H1190" s="28" t="s">
        <v>205</v>
      </c>
      <c r="J1190" s="28" t="s">
        <v>813</v>
      </c>
      <c r="K1190" s="28" t="s">
        <v>895</v>
      </c>
      <c r="O1190" s="28" t="s">
        <v>818</v>
      </c>
      <c r="Q1190" s="28" t="s">
        <v>267</v>
      </c>
    </row>
    <row r="1191" spans="5:18" x14ac:dyDescent="0.25">
      <c r="E1191" s="28" t="s">
        <v>327</v>
      </c>
      <c r="J1191" s="28" t="s">
        <v>811</v>
      </c>
      <c r="M1191" s="28" t="s">
        <v>1166</v>
      </c>
      <c r="N1191" s="28" t="s">
        <v>687</v>
      </c>
      <c r="Q1191" s="28" t="s">
        <v>269</v>
      </c>
      <c r="R1191" s="28" t="s">
        <v>1377</v>
      </c>
    </row>
    <row r="1192" spans="5:18" x14ac:dyDescent="0.25">
      <c r="H1192" s="28" t="s">
        <v>887</v>
      </c>
      <c r="J1192" s="28" t="s">
        <v>814</v>
      </c>
      <c r="K1192" s="28" t="s">
        <v>896</v>
      </c>
      <c r="N1192" s="28" t="s">
        <v>1177</v>
      </c>
      <c r="O1192" s="28" t="s">
        <v>265</v>
      </c>
      <c r="Q1192" s="28" t="s">
        <v>265</v>
      </c>
      <c r="R1192" s="28" t="s">
        <v>705</v>
      </c>
    </row>
    <row r="1193" spans="5:18" x14ac:dyDescent="0.25">
      <c r="E1193" s="28" t="s">
        <v>328</v>
      </c>
      <c r="H1193" s="28" t="s">
        <v>888</v>
      </c>
      <c r="J1193" s="28" t="s">
        <v>815</v>
      </c>
      <c r="M1193" s="28" t="s">
        <v>785</v>
      </c>
      <c r="O1193" s="28" t="s">
        <v>266</v>
      </c>
      <c r="Q1193" s="28" t="s">
        <v>254</v>
      </c>
      <c r="R1193" s="28" t="s">
        <v>1475</v>
      </c>
    </row>
    <row r="1194" spans="5:18" x14ac:dyDescent="0.25">
      <c r="E1194" s="28" t="s">
        <v>329</v>
      </c>
      <c r="H1194" s="28" t="s">
        <v>716</v>
      </c>
      <c r="J1194" s="28" t="s">
        <v>809</v>
      </c>
      <c r="K1194" s="28" t="s">
        <v>897</v>
      </c>
      <c r="N1194" s="28" t="s">
        <v>886</v>
      </c>
      <c r="O1194" s="28" t="s">
        <v>267</v>
      </c>
    </row>
    <row r="1195" spans="5:18" x14ac:dyDescent="0.25">
      <c r="J1195" s="28" t="s">
        <v>816</v>
      </c>
      <c r="M1195" s="28" t="s">
        <v>894</v>
      </c>
      <c r="O1195" s="28" t="s">
        <v>268</v>
      </c>
      <c r="Q1195" s="28" t="s">
        <v>271</v>
      </c>
      <c r="R1195" s="28" t="s">
        <v>676</v>
      </c>
    </row>
    <row r="1196" spans="5:18" x14ac:dyDescent="0.25">
      <c r="E1196" s="28" t="s">
        <v>330</v>
      </c>
      <c r="H1196" s="28" t="s">
        <v>889</v>
      </c>
      <c r="K1196" s="28" t="s">
        <v>898</v>
      </c>
      <c r="N1196" s="28" t="s">
        <v>205</v>
      </c>
    </row>
    <row r="1197" spans="5:18" x14ac:dyDescent="0.25">
      <c r="H1197" s="28" t="s">
        <v>716</v>
      </c>
      <c r="J1197" s="28" t="s">
        <v>909</v>
      </c>
      <c r="M1197" s="28" t="s">
        <v>895</v>
      </c>
      <c r="O1197" s="28" t="s">
        <v>269</v>
      </c>
      <c r="Q1197" s="28" t="s">
        <v>273</v>
      </c>
      <c r="R1197" s="28" t="s">
        <v>954</v>
      </c>
    </row>
    <row r="1198" spans="5:18" x14ac:dyDescent="0.25">
      <c r="E1198" s="28" t="s">
        <v>331</v>
      </c>
      <c r="J1198" s="28" t="s">
        <v>910</v>
      </c>
      <c r="K1198" s="28" t="s">
        <v>899</v>
      </c>
      <c r="N1198" s="28" t="s">
        <v>887</v>
      </c>
      <c r="O1198" s="28" t="s">
        <v>270</v>
      </c>
      <c r="Q1198" s="28" t="s">
        <v>274</v>
      </c>
      <c r="R1198" s="28" t="s">
        <v>1014</v>
      </c>
    </row>
    <row r="1199" spans="5:18" x14ac:dyDescent="0.25">
      <c r="H1199" s="28" t="s">
        <v>720</v>
      </c>
      <c r="M1199" s="28" t="s">
        <v>896</v>
      </c>
      <c r="N1199" s="28" t="s">
        <v>888</v>
      </c>
      <c r="O1199" s="28" t="s">
        <v>268</v>
      </c>
      <c r="Q1199" s="28" t="s">
        <v>266</v>
      </c>
    </row>
    <row r="1200" spans="5:18" x14ac:dyDescent="0.25">
      <c r="E1200" s="28" t="s">
        <v>332</v>
      </c>
      <c r="J1200" s="28" t="s">
        <v>810</v>
      </c>
      <c r="K1200" s="28" t="s">
        <v>900</v>
      </c>
      <c r="N1200" s="28" t="s">
        <v>716</v>
      </c>
      <c r="O1200" s="28" t="s">
        <v>267</v>
      </c>
      <c r="Q1200" s="28" t="s">
        <v>275</v>
      </c>
      <c r="R1200" s="28" t="s">
        <v>1518</v>
      </c>
    </row>
    <row r="1201" spans="5:18" x14ac:dyDescent="0.25">
      <c r="H1201" s="28" t="s">
        <v>160</v>
      </c>
      <c r="M1201" s="28" t="s">
        <v>897</v>
      </c>
      <c r="O1201" s="28" t="s">
        <v>269</v>
      </c>
    </row>
    <row r="1202" spans="5:18" x14ac:dyDescent="0.25">
      <c r="E1202" s="28" t="s">
        <v>333</v>
      </c>
      <c r="J1202" s="28" t="s">
        <v>811</v>
      </c>
      <c r="K1202" s="28" t="s">
        <v>901</v>
      </c>
      <c r="N1202" s="28" t="s">
        <v>889</v>
      </c>
      <c r="O1202" s="28" t="s">
        <v>265</v>
      </c>
      <c r="Q1202" s="28" t="s">
        <v>1371</v>
      </c>
      <c r="R1202" s="28" t="s">
        <v>954</v>
      </c>
    </row>
    <row r="1203" spans="5:18" x14ac:dyDescent="0.25">
      <c r="E1203" s="28" t="s">
        <v>334</v>
      </c>
      <c r="H1203" s="28" t="s">
        <v>420</v>
      </c>
      <c r="J1203" s="28" t="s">
        <v>820</v>
      </c>
      <c r="M1203" s="28" t="s">
        <v>898</v>
      </c>
      <c r="N1203" s="28" t="s">
        <v>716</v>
      </c>
      <c r="O1203" s="28" t="s">
        <v>254</v>
      </c>
      <c r="Q1203" s="28" t="s">
        <v>194</v>
      </c>
      <c r="R1203" s="28" t="s">
        <v>1014</v>
      </c>
    </row>
    <row r="1204" spans="5:18" x14ac:dyDescent="0.25">
      <c r="J1204" s="28" t="s">
        <v>821</v>
      </c>
      <c r="K1204" s="28" t="s">
        <v>902</v>
      </c>
    </row>
    <row r="1205" spans="5:18" x14ac:dyDescent="0.25">
      <c r="E1205" s="28" t="s">
        <v>335</v>
      </c>
      <c r="H1205" s="28" t="s">
        <v>212</v>
      </c>
      <c r="M1205" s="28" t="s">
        <v>899</v>
      </c>
      <c r="N1205" s="28" t="s">
        <v>1180</v>
      </c>
      <c r="O1205" s="28" t="s">
        <v>271</v>
      </c>
      <c r="Q1205" s="28" t="s">
        <v>190</v>
      </c>
      <c r="R1205" s="28" t="s">
        <v>1519</v>
      </c>
    </row>
    <row r="1206" spans="5:18" x14ac:dyDescent="0.25">
      <c r="E1206" s="28" t="s">
        <v>336</v>
      </c>
      <c r="H1206" s="28" t="s">
        <v>212</v>
      </c>
      <c r="J1206" s="28" t="s">
        <v>811</v>
      </c>
      <c r="K1206" s="28" t="s">
        <v>903</v>
      </c>
    </row>
    <row r="1207" spans="5:18" x14ac:dyDescent="0.25">
      <c r="J1207" s="28" t="s">
        <v>822</v>
      </c>
      <c r="M1207" s="28" t="s">
        <v>900</v>
      </c>
      <c r="N1207" s="28" t="s">
        <v>160</v>
      </c>
      <c r="O1207" s="28" t="s">
        <v>273</v>
      </c>
      <c r="Q1207" s="28" t="s">
        <v>1377</v>
      </c>
      <c r="R1207" s="28" t="s">
        <v>160</v>
      </c>
    </row>
    <row r="1208" spans="5:18" x14ac:dyDescent="0.25">
      <c r="E1208" s="28" t="s">
        <v>337</v>
      </c>
      <c r="H1208" s="28" t="s">
        <v>241</v>
      </c>
      <c r="J1208" s="28" t="s">
        <v>811</v>
      </c>
      <c r="K1208" s="28" t="s">
        <v>1108</v>
      </c>
      <c r="O1208" s="28" t="s">
        <v>274</v>
      </c>
      <c r="Q1208" s="28" t="s">
        <v>705</v>
      </c>
    </row>
    <row r="1209" spans="5:18" x14ac:dyDescent="0.25">
      <c r="M1209" s="28" t="s">
        <v>901</v>
      </c>
      <c r="N1209" s="28" t="s">
        <v>243</v>
      </c>
      <c r="O1209" s="28" t="s">
        <v>266</v>
      </c>
      <c r="Q1209" s="28" t="s">
        <v>1392</v>
      </c>
      <c r="R1209" s="28" t="s">
        <v>1519</v>
      </c>
    </row>
    <row r="1210" spans="5:18" x14ac:dyDescent="0.25">
      <c r="E1210" s="28" t="s">
        <v>338</v>
      </c>
      <c r="H1210" s="28" t="s">
        <v>923</v>
      </c>
      <c r="J1210" s="28" t="s">
        <v>911</v>
      </c>
      <c r="K1210" s="28" t="s">
        <v>77</v>
      </c>
      <c r="O1210" s="28" t="s">
        <v>275</v>
      </c>
    </row>
    <row r="1211" spans="5:18" x14ac:dyDescent="0.25">
      <c r="M1211" s="28" t="s">
        <v>902</v>
      </c>
      <c r="N1211" s="28" t="s">
        <v>419</v>
      </c>
      <c r="Q1211" s="28" t="s">
        <v>1372</v>
      </c>
      <c r="R1211" s="28" t="s">
        <v>1389</v>
      </c>
    </row>
    <row r="1212" spans="5:18" x14ac:dyDescent="0.25">
      <c r="E1212" s="28" t="s">
        <v>339</v>
      </c>
      <c r="H1212" s="28" t="s">
        <v>720</v>
      </c>
      <c r="J1212" s="28" t="s">
        <v>823</v>
      </c>
      <c r="K1212" s="28" t="s">
        <v>972</v>
      </c>
      <c r="N1212" s="28" t="s">
        <v>212</v>
      </c>
      <c r="O1212" s="28" t="s">
        <v>891</v>
      </c>
    </row>
    <row r="1213" spans="5:18" x14ac:dyDescent="0.25">
      <c r="J1213" s="28" t="s">
        <v>809</v>
      </c>
      <c r="M1213" s="28" t="s">
        <v>903</v>
      </c>
      <c r="O1213" s="28" t="s">
        <v>892</v>
      </c>
      <c r="Q1213" s="28" t="s">
        <v>885</v>
      </c>
      <c r="R1213" s="28" t="s">
        <v>1263</v>
      </c>
    </row>
    <row r="1214" spans="5:18" x14ac:dyDescent="0.25">
      <c r="E1214" s="28" t="s">
        <v>340</v>
      </c>
      <c r="H1214" s="28" t="s">
        <v>419</v>
      </c>
      <c r="J1214" s="28" t="s">
        <v>826</v>
      </c>
      <c r="K1214" s="28" t="s">
        <v>905</v>
      </c>
      <c r="N1214" s="28" t="s">
        <v>244</v>
      </c>
    </row>
    <row r="1215" spans="5:18" x14ac:dyDescent="0.25">
      <c r="H1215" s="28" t="s">
        <v>212</v>
      </c>
      <c r="K1215" s="28" t="s">
        <v>1084</v>
      </c>
      <c r="M1215" s="28" t="s">
        <v>1164</v>
      </c>
      <c r="O1215" s="28" t="s">
        <v>779</v>
      </c>
      <c r="Q1215" s="28" t="s">
        <v>1373</v>
      </c>
      <c r="R1215" s="28" t="s">
        <v>1389</v>
      </c>
    </row>
    <row r="1216" spans="5:18" x14ac:dyDescent="0.25">
      <c r="E1216" s="28" t="s">
        <v>341</v>
      </c>
      <c r="J1216" s="28" t="s">
        <v>827</v>
      </c>
      <c r="N1216" s="28" t="s">
        <v>1105</v>
      </c>
      <c r="O1216" s="28" t="s">
        <v>778</v>
      </c>
    </row>
    <row r="1217" spans="5:18" x14ac:dyDescent="0.25">
      <c r="E1217" s="28" t="s">
        <v>342</v>
      </c>
      <c r="H1217" s="28" t="s">
        <v>212</v>
      </c>
      <c r="J1217" s="28" t="s">
        <v>823</v>
      </c>
      <c r="K1217" s="28" t="s">
        <v>326</v>
      </c>
      <c r="M1217" s="28" t="s">
        <v>77</v>
      </c>
      <c r="N1217" s="28" t="s">
        <v>923</v>
      </c>
      <c r="Q1217" s="28" t="s">
        <v>687</v>
      </c>
      <c r="R1217" s="28" t="s">
        <v>160</v>
      </c>
    </row>
    <row r="1218" spans="5:18" x14ac:dyDescent="0.25">
      <c r="E1218" s="28" t="s">
        <v>343</v>
      </c>
      <c r="J1218" s="28" t="s">
        <v>809</v>
      </c>
      <c r="K1218" s="28" t="s">
        <v>899</v>
      </c>
      <c r="O1218" s="28" t="s">
        <v>1324</v>
      </c>
      <c r="Q1218" s="28" t="s">
        <v>1436</v>
      </c>
    </row>
    <row r="1219" spans="5:18" x14ac:dyDescent="0.25">
      <c r="E1219" s="28" t="s">
        <v>344</v>
      </c>
      <c r="H1219" s="28" t="s">
        <v>809</v>
      </c>
      <c r="M1219" s="28" t="s">
        <v>972</v>
      </c>
      <c r="N1219" s="28" t="s">
        <v>1180</v>
      </c>
      <c r="R1219" s="28" t="s">
        <v>245</v>
      </c>
    </row>
    <row r="1220" spans="5:18" x14ac:dyDescent="0.25">
      <c r="H1220" s="28" t="s">
        <v>810</v>
      </c>
      <c r="J1220" s="28" t="s">
        <v>912</v>
      </c>
      <c r="K1220" s="28" t="s">
        <v>82</v>
      </c>
      <c r="O1220" s="28" t="s">
        <v>785</v>
      </c>
      <c r="Q1220" s="28" t="s">
        <v>1374</v>
      </c>
      <c r="R1220" s="28" t="s">
        <v>246</v>
      </c>
    </row>
    <row r="1221" spans="5:18" x14ac:dyDescent="0.25">
      <c r="E1221" s="28" t="s">
        <v>327</v>
      </c>
      <c r="H1221" s="28" t="s">
        <v>811</v>
      </c>
      <c r="M1221" s="28" t="s">
        <v>905</v>
      </c>
      <c r="N1221" s="28" t="s">
        <v>809</v>
      </c>
      <c r="Q1221" s="28" t="s">
        <v>882</v>
      </c>
      <c r="R1221" s="28" t="s">
        <v>247</v>
      </c>
    </row>
    <row r="1222" spans="5:18" x14ac:dyDescent="0.25">
      <c r="E1222" s="28" t="s">
        <v>347</v>
      </c>
      <c r="H1222" s="28" t="s">
        <v>812</v>
      </c>
      <c r="J1222" s="28" t="s">
        <v>810</v>
      </c>
      <c r="K1222" s="28" t="s">
        <v>906</v>
      </c>
      <c r="M1222" s="28" t="s">
        <v>1158</v>
      </c>
      <c r="N1222" s="28" t="s">
        <v>810</v>
      </c>
      <c r="O1222" s="28" t="s">
        <v>894</v>
      </c>
      <c r="R1222" s="28" t="s">
        <v>248</v>
      </c>
    </row>
    <row r="1223" spans="5:18" x14ac:dyDescent="0.25">
      <c r="E1223" s="28" t="s">
        <v>334</v>
      </c>
      <c r="H1223" s="28" t="s">
        <v>809</v>
      </c>
      <c r="J1223" s="28" t="s">
        <v>818</v>
      </c>
      <c r="K1223" s="28" t="s">
        <v>907</v>
      </c>
      <c r="N1223" s="28" t="s">
        <v>811</v>
      </c>
      <c r="Q1223" s="28" t="s">
        <v>1440</v>
      </c>
      <c r="R1223" s="28" t="s">
        <v>245</v>
      </c>
    </row>
    <row r="1224" spans="5:18" x14ac:dyDescent="0.25">
      <c r="E1224" s="28" t="s">
        <v>337</v>
      </c>
      <c r="H1224" s="28" t="s">
        <v>813</v>
      </c>
      <c r="M1224" s="28" t="s">
        <v>326</v>
      </c>
      <c r="N1224" s="28" t="s">
        <v>812</v>
      </c>
      <c r="O1224" s="28" t="s">
        <v>895</v>
      </c>
      <c r="R1224" s="28" t="s">
        <v>249</v>
      </c>
    </row>
    <row r="1225" spans="5:18" x14ac:dyDescent="0.25">
      <c r="E1225" s="28" t="s">
        <v>348</v>
      </c>
      <c r="H1225" s="28" t="s">
        <v>811</v>
      </c>
      <c r="J1225" s="28" t="s">
        <v>265</v>
      </c>
      <c r="K1225" s="28" t="s">
        <v>244</v>
      </c>
      <c r="M1225" s="28" t="s">
        <v>899</v>
      </c>
      <c r="N1225" s="28" t="s">
        <v>809</v>
      </c>
      <c r="Q1225" s="28" t="s">
        <v>205</v>
      </c>
      <c r="R1225" s="28" t="s">
        <v>247</v>
      </c>
    </row>
    <row r="1226" spans="5:18" x14ac:dyDescent="0.25">
      <c r="E1226" s="28" t="s">
        <v>349</v>
      </c>
      <c r="H1226" s="28" t="s">
        <v>814</v>
      </c>
      <c r="J1226" s="28" t="s">
        <v>266</v>
      </c>
      <c r="N1226" s="28" t="s">
        <v>813</v>
      </c>
      <c r="O1226" s="28" t="s">
        <v>896</v>
      </c>
      <c r="R1226" s="28" t="s">
        <v>250</v>
      </c>
    </row>
    <row r="1227" spans="5:18" x14ac:dyDescent="0.25">
      <c r="E1227" s="28" t="s">
        <v>340</v>
      </c>
      <c r="H1227" s="28" t="s">
        <v>815</v>
      </c>
      <c r="J1227" s="28" t="s">
        <v>267</v>
      </c>
      <c r="K1227" s="28" t="s">
        <v>908</v>
      </c>
      <c r="M1227" s="28" t="s">
        <v>82</v>
      </c>
      <c r="N1227" s="28" t="s">
        <v>811</v>
      </c>
      <c r="Q1227" s="28" t="s">
        <v>160</v>
      </c>
      <c r="R1227" s="28" t="s">
        <v>251</v>
      </c>
    </row>
    <row r="1228" spans="5:18" x14ac:dyDescent="0.25">
      <c r="H1228" s="28" t="s">
        <v>809</v>
      </c>
      <c r="J1228" s="28" t="s">
        <v>268</v>
      </c>
      <c r="N1228" s="28" t="s">
        <v>814</v>
      </c>
      <c r="O1228" s="28" t="s">
        <v>897</v>
      </c>
      <c r="R1228" s="28" t="s">
        <v>245</v>
      </c>
    </row>
    <row r="1229" spans="5:18" x14ac:dyDescent="0.25">
      <c r="E1229" s="28" t="s">
        <v>350</v>
      </c>
      <c r="H1229" s="28" t="s">
        <v>816</v>
      </c>
      <c r="K1229" s="28" t="s">
        <v>878</v>
      </c>
      <c r="M1229" s="28" t="s">
        <v>906</v>
      </c>
      <c r="N1229" s="28" t="s">
        <v>815</v>
      </c>
      <c r="Q1229" s="28" t="s">
        <v>1375</v>
      </c>
      <c r="R1229" s="28" t="s">
        <v>252</v>
      </c>
    </row>
    <row r="1230" spans="5:18" x14ac:dyDescent="0.25">
      <c r="E1230" s="28" t="s">
        <v>351</v>
      </c>
      <c r="J1230" s="28" t="s">
        <v>269</v>
      </c>
      <c r="K1230" s="28" t="s">
        <v>705</v>
      </c>
      <c r="M1230" s="28" t="s">
        <v>907</v>
      </c>
      <c r="N1230" s="28" t="s">
        <v>809</v>
      </c>
      <c r="O1230" s="28" t="s">
        <v>898</v>
      </c>
      <c r="Q1230" s="28" t="s">
        <v>1376</v>
      </c>
    </row>
    <row r="1231" spans="5:18" x14ac:dyDescent="0.25">
      <c r="E1231" s="28" t="s">
        <v>352</v>
      </c>
      <c r="H1231" s="28" t="s">
        <v>909</v>
      </c>
      <c r="J1231" s="28" t="s">
        <v>270</v>
      </c>
      <c r="K1231" s="28" t="s">
        <v>1064</v>
      </c>
      <c r="N1231" s="28" t="s">
        <v>816</v>
      </c>
      <c r="R1231" s="28" t="s">
        <v>253</v>
      </c>
    </row>
    <row r="1232" spans="5:18" x14ac:dyDescent="0.25">
      <c r="E1232" s="28" t="s">
        <v>353</v>
      </c>
      <c r="H1232" s="28" t="s">
        <v>910</v>
      </c>
      <c r="J1232" s="28" t="s">
        <v>268</v>
      </c>
      <c r="M1232" s="28" t="s">
        <v>285</v>
      </c>
      <c r="O1232" s="28" t="s">
        <v>899</v>
      </c>
      <c r="Q1232" s="28" t="s">
        <v>689</v>
      </c>
    </row>
    <row r="1233" spans="5:18" x14ac:dyDescent="0.25">
      <c r="J1233" s="28" t="s">
        <v>267</v>
      </c>
      <c r="K1233" s="28" t="s">
        <v>914</v>
      </c>
      <c r="N1233" s="28" t="s">
        <v>909</v>
      </c>
      <c r="R1233" s="28" t="s">
        <v>254</v>
      </c>
    </row>
    <row r="1234" spans="5:18" x14ac:dyDescent="0.25">
      <c r="E1234" s="28" t="s">
        <v>354</v>
      </c>
      <c r="H1234" s="28" t="s">
        <v>810</v>
      </c>
      <c r="J1234" s="28" t="s">
        <v>269</v>
      </c>
      <c r="M1234" s="28" t="s">
        <v>908</v>
      </c>
      <c r="N1234" s="28" t="s">
        <v>910</v>
      </c>
      <c r="O1234" s="28" t="s">
        <v>900</v>
      </c>
      <c r="Q1234" s="28" t="s">
        <v>1435</v>
      </c>
      <c r="R1234" s="28" t="s">
        <v>255</v>
      </c>
    </row>
    <row r="1235" spans="5:18" x14ac:dyDescent="0.25">
      <c r="E1235" s="28" t="s">
        <v>355</v>
      </c>
      <c r="J1235" s="28" t="s">
        <v>265</v>
      </c>
      <c r="K1235" s="28" t="s">
        <v>880</v>
      </c>
      <c r="R1235" s="28" t="s">
        <v>248</v>
      </c>
    </row>
    <row r="1236" spans="5:18" x14ac:dyDescent="0.25">
      <c r="E1236" s="28" t="s">
        <v>355</v>
      </c>
      <c r="H1236" s="28" t="s">
        <v>811</v>
      </c>
      <c r="J1236" s="28" t="s">
        <v>254</v>
      </c>
      <c r="K1236" s="28" t="s">
        <v>881</v>
      </c>
      <c r="M1236" s="28" t="s">
        <v>878</v>
      </c>
      <c r="N1236" s="28" t="s">
        <v>810</v>
      </c>
      <c r="O1236" s="28" t="s">
        <v>901</v>
      </c>
      <c r="Q1236" s="28" t="s">
        <v>1435</v>
      </c>
      <c r="R1236" s="28" t="s">
        <v>246</v>
      </c>
    </row>
    <row r="1237" spans="5:18" x14ac:dyDescent="0.25">
      <c r="E1237" s="28" t="s">
        <v>355</v>
      </c>
      <c r="H1237" s="28" t="s">
        <v>820</v>
      </c>
      <c r="K1237" s="28" t="s">
        <v>882</v>
      </c>
      <c r="M1237" s="28" t="s">
        <v>705</v>
      </c>
      <c r="R1237" s="28" t="s">
        <v>256</v>
      </c>
    </row>
    <row r="1238" spans="5:18" x14ac:dyDescent="0.25">
      <c r="H1238" s="28" t="s">
        <v>821</v>
      </c>
      <c r="J1238" s="28" t="s">
        <v>271</v>
      </c>
      <c r="M1238" s="28" t="s">
        <v>1129</v>
      </c>
      <c r="N1238" s="28" t="s">
        <v>811</v>
      </c>
      <c r="O1238" s="28" t="s">
        <v>902</v>
      </c>
      <c r="Q1238" s="28" t="s">
        <v>1006</v>
      </c>
    </row>
    <row r="1239" spans="5:18" x14ac:dyDescent="0.25">
      <c r="E1239" s="28" t="s">
        <v>356</v>
      </c>
      <c r="K1239" s="28" t="s">
        <v>883</v>
      </c>
      <c r="N1239" s="28" t="s">
        <v>820</v>
      </c>
      <c r="R1239" s="28" t="s">
        <v>254</v>
      </c>
    </row>
    <row r="1240" spans="5:18" x14ac:dyDescent="0.25">
      <c r="H1240" s="28" t="s">
        <v>811</v>
      </c>
      <c r="J1240" s="28" t="s">
        <v>273</v>
      </c>
      <c r="M1240" s="28" t="s">
        <v>914</v>
      </c>
      <c r="N1240" s="28" t="s">
        <v>821</v>
      </c>
      <c r="O1240" s="28" t="s">
        <v>903</v>
      </c>
      <c r="Q1240" s="28" t="s">
        <v>1428</v>
      </c>
      <c r="R1240" s="28" t="s">
        <v>255</v>
      </c>
    </row>
    <row r="1241" spans="5:18" x14ac:dyDescent="0.25">
      <c r="E1241" s="28" t="s">
        <v>355</v>
      </c>
      <c r="H1241" s="28" t="s">
        <v>822</v>
      </c>
      <c r="J1241" s="28" t="s">
        <v>274</v>
      </c>
      <c r="K1241" s="28" t="s">
        <v>884</v>
      </c>
    </row>
    <row r="1242" spans="5:18" x14ac:dyDescent="0.25">
      <c r="H1242" s="28" t="s">
        <v>811</v>
      </c>
      <c r="J1242" s="28" t="s">
        <v>266</v>
      </c>
      <c r="M1242" s="28" t="s">
        <v>880</v>
      </c>
      <c r="N1242" s="28" t="s">
        <v>811</v>
      </c>
      <c r="O1242" s="28" t="s">
        <v>1321</v>
      </c>
      <c r="Q1242" s="28" t="s">
        <v>419</v>
      </c>
      <c r="R1242" s="28" t="s">
        <v>257</v>
      </c>
    </row>
    <row r="1243" spans="5:18" x14ac:dyDescent="0.25">
      <c r="E1243" s="28" t="s">
        <v>575</v>
      </c>
      <c r="J1243" s="28" t="s">
        <v>275</v>
      </c>
      <c r="K1243" s="28" t="s">
        <v>885</v>
      </c>
      <c r="M1243" s="28" t="s">
        <v>881</v>
      </c>
      <c r="N1243" s="28" t="s">
        <v>822</v>
      </c>
      <c r="Q1243" s="28" t="s">
        <v>243</v>
      </c>
      <c r="R1243" s="28" t="s">
        <v>247</v>
      </c>
    </row>
    <row r="1244" spans="5:18" x14ac:dyDescent="0.25">
      <c r="H1244" s="28" t="s">
        <v>911</v>
      </c>
      <c r="M1244" s="28" t="s">
        <v>882</v>
      </c>
      <c r="N1244" s="28" t="s">
        <v>811</v>
      </c>
      <c r="O1244" s="28" t="s">
        <v>77</v>
      </c>
      <c r="Q1244" s="28" t="s">
        <v>244</v>
      </c>
      <c r="R1244" s="28" t="s">
        <v>258</v>
      </c>
    </row>
    <row r="1245" spans="5:18" x14ac:dyDescent="0.25">
      <c r="E1245" s="28" t="s">
        <v>346</v>
      </c>
      <c r="J1245" s="28" t="s">
        <v>1045</v>
      </c>
      <c r="K1245" s="28" t="s">
        <v>687</v>
      </c>
      <c r="R1245" s="28" t="s">
        <v>259</v>
      </c>
    </row>
    <row r="1246" spans="5:18" x14ac:dyDescent="0.25">
      <c r="H1246" s="28" t="s">
        <v>823</v>
      </c>
      <c r="K1246" s="28" t="s">
        <v>1075</v>
      </c>
      <c r="M1246" s="28" t="s">
        <v>883</v>
      </c>
      <c r="N1246" s="28" t="s">
        <v>911</v>
      </c>
      <c r="O1246" s="28" t="s">
        <v>972</v>
      </c>
      <c r="Q1246" s="28" t="s">
        <v>245</v>
      </c>
    </row>
    <row r="1247" spans="5:18" x14ac:dyDescent="0.25">
      <c r="E1247" s="28" t="s">
        <v>357</v>
      </c>
      <c r="H1247" s="28" t="s">
        <v>809</v>
      </c>
      <c r="J1247" s="28" t="s">
        <v>212</v>
      </c>
      <c r="Q1247" s="28" t="s">
        <v>246</v>
      </c>
      <c r="R1247" s="28" t="s">
        <v>247</v>
      </c>
    </row>
    <row r="1248" spans="5:18" x14ac:dyDescent="0.25">
      <c r="H1248" s="28" t="s">
        <v>826</v>
      </c>
      <c r="J1248" s="28" t="s">
        <v>244</v>
      </c>
      <c r="K1248" s="28" t="s">
        <v>886</v>
      </c>
      <c r="M1248" s="28" t="s">
        <v>884</v>
      </c>
      <c r="N1248" s="28" t="s">
        <v>823</v>
      </c>
      <c r="O1248" s="28" t="s">
        <v>905</v>
      </c>
      <c r="Q1248" s="28" t="s">
        <v>247</v>
      </c>
      <c r="R1248" s="28" t="s">
        <v>260</v>
      </c>
    </row>
    <row r="1249" spans="5:18" x14ac:dyDescent="0.25">
      <c r="E1249" s="28" t="s">
        <v>358</v>
      </c>
      <c r="N1249" s="28" t="s">
        <v>809</v>
      </c>
      <c r="O1249" s="28" t="s">
        <v>1293</v>
      </c>
      <c r="Q1249" s="28" t="s">
        <v>248</v>
      </c>
      <c r="R1249" s="28" t="s">
        <v>247</v>
      </c>
    </row>
    <row r="1250" spans="5:18" x14ac:dyDescent="0.25">
      <c r="H1250" s="28" t="s">
        <v>827</v>
      </c>
      <c r="J1250" s="28" t="s">
        <v>49</v>
      </c>
      <c r="K1250" s="28" t="s">
        <v>205</v>
      </c>
      <c r="M1250" s="28" t="s">
        <v>885</v>
      </c>
      <c r="N1250" s="28" t="s">
        <v>826</v>
      </c>
      <c r="Q1250" s="28" t="s">
        <v>245</v>
      </c>
      <c r="R1250" s="28" t="s">
        <v>261</v>
      </c>
    </row>
    <row r="1251" spans="5:18" x14ac:dyDescent="0.25">
      <c r="E1251" s="28" t="s">
        <v>362</v>
      </c>
      <c r="H1251" s="28" t="s">
        <v>823</v>
      </c>
      <c r="O1251" s="28" t="s">
        <v>326</v>
      </c>
      <c r="Q1251" s="28" t="s">
        <v>249</v>
      </c>
      <c r="R1251" s="28" t="s">
        <v>254</v>
      </c>
    </row>
    <row r="1252" spans="5:18" x14ac:dyDescent="0.25">
      <c r="H1252" s="28" t="s">
        <v>809</v>
      </c>
      <c r="J1252" s="28" t="s">
        <v>916</v>
      </c>
      <c r="K1252" s="28" t="s">
        <v>887</v>
      </c>
      <c r="M1252" s="28" t="s">
        <v>687</v>
      </c>
      <c r="N1252" s="28" t="s">
        <v>827</v>
      </c>
      <c r="O1252" s="28" t="s">
        <v>899</v>
      </c>
      <c r="Q1252" s="28" t="s">
        <v>247</v>
      </c>
    </row>
    <row r="1253" spans="5:18" x14ac:dyDescent="0.25">
      <c r="E1253" s="28" t="s">
        <v>363</v>
      </c>
      <c r="K1253" s="28" t="s">
        <v>888</v>
      </c>
      <c r="M1253" s="28" t="s">
        <v>1075</v>
      </c>
      <c r="N1253" s="28" t="s">
        <v>823</v>
      </c>
      <c r="Q1253" s="28" t="s">
        <v>250</v>
      </c>
      <c r="R1253" s="28" t="s">
        <v>262</v>
      </c>
    </row>
    <row r="1254" spans="5:18" x14ac:dyDescent="0.25">
      <c r="H1254" s="28" t="s">
        <v>912</v>
      </c>
      <c r="J1254" s="28" t="s">
        <v>452</v>
      </c>
      <c r="K1254" s="28" t="s">
        <v>716</v>
      </c>
      <c r="N1254" s="28" t="s">
        <v>809</v>
      </c>
      <c r="O1254" s="28" t="s">
        <v>82</v>
      </c>
      <c r="Q1254" s="28" t="s">
        <v>251</v>
      </c>
    </row>
    <row r="1255" spans="5:18" x14ac:dyDescent="0.25">
      <c r="E1255" s="28" t="s">
        <v>350</v>
      </c>
      <c r="M1255" s="28" t="s">
        <v>886</v>
      </c>
      <c r="Q1255" s="28" t="s">
        <v>245</v>
      </c>
      <c r="R1255" s="28" t="s">
        <v>254</v>
      </c>
    </row>
    <row r="1256" spans="5:18" x14ac:dyDescent="0.25">
      <c r="E1256" s="28" t="s">
        <v>160</v>
      </c>
      <c r="H1256" s="28" t="s">
        <v>810</v>
      </c>
      <c r="J1256" s="28" t="s">
        <v>419</v>
      </c>
      <c r="K1256" s="28" t="s">
        <v>889</v>
      </c>
      <c r="N1256" s="28" t="s">
        <v>912</v>
      </c>
      <c r="O1256" s="28" t="s">
        <v>906</v>
      </c>
      <c r="Q1256" s="28" t="s">
        <v>252</v>
      </c>
      <c r="R1256" s="28" t="s">
        <v>255</v>
      </c>
    </row>
    <row r="1257" spans="5:18" x14ac:dyDescent="0.25">
      <c r="H1257" s="28" t="s">
        <v>818</v>
      </c>
      <c r="J1257" s="28" t="s">
        <v>545</v>
      </c>
      <c r="K1257" s="28" t="s">
        <v>716</v>
      </c>
      <c r="M1257" s="28" t="s">
        <v>205</v>
      </c>
      <c r="O1257" s="28" t="s">
        <v>907</v>
      </c>
      <c r="R1257" s="28" t="s">
        <v>263</v>
      </c>
    </row>
    <row r="1258" spans="5:18" x14ac:dyDescent="0.25">
      <c r="E1258" s="28" t="s">
        <v>364</v>
      </c>
      <c r="N1258" s="28" t="s">
        <v>810</v>
      </c>
      <c r="Q1258" s="28" t="s">
        <v>253</v>
      </c>
      <c r="R1258" s="28" t="s">
        <v>261</v>
      </c>
    </row>
    <row r="1259" spans="5:18" x14ac:dyDescent="0.25">
      <c r="H1259" s="28" t="s">
        <v>265</v>
      </c>
      <c r="J1259" s="28" t="s">
        <v>502</v>
      </c>
      <c r="K1259" s="28" t="s">
        <v>722</v>
      </c>
      <c r="M1259" s="28" t="s">
        <v>887</v>
      </c>
      <c r="N1259" s="28" t="s">
        <v>818</v>
      </c>
      <c r="O1259" s="28" t="s">
        <v>285</v>
      </c>
      <c r="R1259" s="28" t="s">
        <v>245</v>
      </c>
    </row>
    <row r="1260" spans="5:18" x14ac:dyDescent="0.25">
      <c r="E1260" s="28" t="s">
        <v>160</v>
      </c>
      <c r="H1260" s="28" t="s">
        <v>266</v>
      </c>
      <c r="M1260" s="28" t="s">
        <v>888</v>
      </c>
      <c r="Q1260" s="28" t="s">
        <v>254</v>
      </c>
      <c r="R1260" s="28" t="s">
        <v>264</v>
      </c>
    </row>
    <row r="1261" spans="5:18" x14ac:dyDescent="0.25">
      <c r="H1261" s="28" t="s">
        <v>267</v>
      </c>
      <c r="J1261" s="28" t="s">
        <v>502</v>
      </c>
      <c r="K1261" s="28" t="s">
        <v>160</v>
      </c>
      <c r="M1261" s="28" t="s">
        <v>716</v>
      </c>
      <c r="N1261" s="28" t="s">
        <v>265</v>
      </c>
      <c r="O1261" s="28" t="s">
        <v>908</v>
      </c>
      <c r="Q1261" s="28" t="s">
        <v>255</v>
      </c>
    </row>
    <row r="1262" spans="5:18" x14ac:dyDescent="0.25">
      <c r="E1262" s="28" t="s">
        <v>576</v>
      </c>
      <c r="H1262" s="28" t="s">
        <v>268</v>
      </c>
      <c r="N1262" s="28" t="s">
        <v>266</v>
      </c>
      <c r="Q1262" s="28" t="s">
        <v>248</v>
      </c>
      <c r="R1262" s="28" t="s">
        <v>255</v>
      </c>
    </row>
    <row r="1263" spans="5:18" x14ac:dyDescent="0.25">
      <c r="J1263" s="28" t="s">
        <v>49</v>
      </c>
      <c r="K1263" s="28" t="s">
        <v>982</v>
      </c>
      <c r="M1263" s="28" t="s">
        <v>889</v>
      </c>
      <c r="N1263" s="28" t="s">
        <v>267</v>
      </c>
      <c r="O1263" s="28" t="s">
        <v>878</v>
      </c>
      <c r="Q1263" s="28" t="s">
        <v>246</v>
      </c>
    </row>
    <row r="1264" spans="5:18" x14ac:dyDescent="0.25">
      <c r="E1264" s="28" t="s">
        <v>577</v>
      </c>
      <c r="H1264" s="28" t="s">
        <v>269</v>
      </c>
      <c r="M1264" s="28" t="s">
        <v>716</v>
      </c>
      <c r="N1264" s="28" t="s">
        <v>268</v>
      </c>
      <c r="O1264" s="28" t="s">
        <v>705</v>
      </c>
      <c r="Q1264" s="28" t="s">
        <v>256</v>
      </c>
      <c r="R1264" s="28" t="s">
        <v>250</v>
      </c>
    </row>
    <row r="1265" spans="5:18" x14ac:dyDescent="0.25">
      <c r="H1265" s="28" t="s">
        <v>270</v>
      </c>
      <c r="J1265" s="28" t="s">
        <v>955</v>
      </c>
      <c r="K1265" s="28" t="s">
        <v>243</v>
      </c>
      <c r="O1265" s="28" t="s">
        <v>1285</v>
      </c>
      <c r="R1265" s="28" t="s">
        <v>261</v>
      </c>
    </row>
    <row r="1266" spans="5:18" x14ac:dyDescent="0.25">
      <c r="E1266" s="28" t="s">
        <v>578</v>
      </c>
      <c r="H1266" s="28" t="s">
        <v>268</v>
      </c>
      <c r="M1266" s="28" t="s">
        <v>722</v>
      </c>
      <c r="N1266" s="28" t="s">
        <v>269</v>
      </c>
      <c r="Q1266" s="28" t="s">
        <v>254</v>
      </c>
      <c r="R1266" s="28" t="s">
        <v>245</v>
      </c>
    </row>
    <row r="1267" spans="5:18" x14ac:dyDescent="0.25">
      <c r="H1267" s="28" t="s">
        <v>267</v>
      </c>
      <c r="J1267" s="28" t="s">
        <v>452</v>
      </c>
      <c r="K1267" s="28" t="s">
        <v>927</v>
      </c>
      <c r="N1267" s="28" t="s">
        <v>270</v>
      </c>
      <c r="O1267" s="28" t="s">
        <v>914</v>
      </c>
      <c r="Q1267" s="28" t="s">
        <v>255</v>
      </c>
      <c r="R1267" s="28" t="s">
        <v>263</v>
      </c>
    </row>
    <row r="1268" spans="5:18" x14ac:dyDescent="0.25">
      <c r="E1268" s="28" t="s">
        <v>365</v>
      </c>
      <c r="H1268" s="28" t="s">
        <v>269</v>
      </c>
      <c r="M1268" s="28" t="s">
        <v>160</v>
      </c>
      <c r="N1268" s="28" t="s">
        <v>268</v>
      </c>
      <c r="R1268" s="28" t="s">
        <v>254</v>
      </c>
    </row>
    <row r="1269" spans="5:18" x14ac:dyDescent="0.25">
      <c r="H1269" s="28" t="s">
        <v>265</v>
      </c>
      <c r="J1269" s="28" t="s">
        <v>1039</v>
      </c>
      <c r="K1269" s="28" t="s">
        <v>243</v>
      </c>
      <c r="N1269" s="28" t="s">
        <v>267</v>
      </c>
      <c r="O1269" s="28" t="s">
        <v>880</v>
      </c>
      <c r="Q1269" s="28" t="s">
        <v>257</v>
      </c>
      <c r="R1269" s="28" t="s">
        <v>253</v>
      </c>
    </row>
    <row r="1270" spans="5:18" x14ac:dyDescent="0.25">
      <c r="H1270" s="28" t="s">
        <v>254</v>
      </c>
      <c r="M1270" s="28" t="s">
        <v>160</v>
      </c>
      <c r="N1270" s="28" t="s">
        <v>269</v>
      </c>
      <c r="O1270" s="28" t="s">
        <v>881</v>
      </c>
      <c r="Q1270" s="28" t="s">
        <v>247</v>
      </c>
    </row>
    <row r="1271" spans="5:18" x14ac:dyDescent="0.25">
      <c r="J1271" s="28" t="s">
        <v>442</v>
      </c>
      <c r="K1271" s="28" t="s">
        <v>244</v>
      </c>
      <c r="M1271" s="28" t="s">
        <v>212</v>
      </c>
      <c r="N1271" s="28" t="s">
        <v>265</v>
      </c>
      <c r="O1271" s="28" t="s">
        <v>882</v>
      </c>
      <c r="Q1271" s="28" t="s">
        <v>258</v>
      </c>
      <c r="R1271" s="28" t="s">
        <v>254</v>
      </c>
    </row>
    <row r="1272" spans="5:18" x14ac:dyDescent="0.25">
      <c r="H1272" s="28" t="s">
        <v>271</v>
      </c>
      <c r="N1272" s="28" t="s">
        <v>254</v>
      </c>
      <c r="Q1272" s="28" t="s">
        <v>259</v>
      </c>
      <c r="R1272" s="28" t="s">
        <v>255</v>
      </c>
    </row>
    <row r="1273" spans="5:18" x14ac:dyDescent="0.25">
      <c r="J1273" s="28" t="s">
        <v>424</v>
      </c>
      <c r="K1273" s="28" t="s">
        <v>160</v>
      </c>
      <c r="M1273" s="28" t="s">
        <v>545</v>
      </c>
      <c r="O1273" s="28" t="s">
        <v>883</v>
      </c>
      <c r="R1273" s="28" t="s">
        <v>248</v>
      </c>
    </row>
    <row r="1274" spans="5:18" x14ac:dyDescent="0.25">
      <c r="H1274" s="28" t="s">
        <v>273</v>
      </c>
      <c r="J1274" s="28" t="s">
        <v>545</v>
      </c>
      <c r="K1274" s="28" t="s">
        <v>212</v>
      </c>
      <c r="M1274" s="28" t="s">
        <v>160</v>
      </c>
      <c r="N1274" s="28" t="s">
        <v>271</v>
      </c>
      <c r="Q1274" s="28" t="s">
        <v>247</v>
      </c>
      <c r="R1274" s="28" t="s">
        <v>246</v>
      </c>
    </row>
    <row r="1275" spans="5:18" x14ac:dyDescent="0.25">
      <c r="H1275" s="28" t="s">
        <v>274</v>
      </c>
      <c r="O1275" s="28" t="s">
        <v>884</v>
      </c>
      <c r="Q1275" s="28" t="s">
        <v>260</v>
      </c>
      <c r="R1275" s="28" t="s">
        <v>256</v>
      </c>
    </row>
    <row r="1276" spans="5:18" x14ac:dyDescent="0.25">
      <c r="H1276" s="28" t="s">
        <v>266</v>
      </c>
      <c r="J1276" s="28" t="s">
        <v>424</v>
      </c>
      <c r="K1276" s="28" t="s">
        <v>722</v>
      </c>
      <c r="M1276" s="28" t="s">
        <v>244</v>
      </c>
      <c r="N1276" s="28" t="s">
        <v>273</v>
      </c>
      <c r="Q1276" s="28" t="s">
        <v>247</v>
      </c>
    </row>
    <row r="1277" spans="5:18" x14ac:dyDescent="0.25">
      <c r="H1277" s="28" t="s">
        <v>275</v>
      </c>
      <c r="N1277" s="28" t="s">
        <v>274</v>
      </c>
      <c r="O1277" s="28" t="s">
        <v>885</v>
      </c>
      <c r="Q1277" s="28" t="s">
        <v>261</v>
      </c>
      <c r="R1277" s="28" t="s">
        <v>265</v>
      </c>
    </row>
    <row r="1278" spans="5:18" x14ac:dyDescent="0.25">
      <c r="J1278" s="28" t="s">
        <v>424</v>
      </c>
      <c r="K1278" s="28" t="s">
        <v>809</v>
      </c>
      <c r="M1278" s="28" t="s">
        <v>243</v>
      </c>
      <c r="N1278" s="28" t="s">
        <v>266</v>
      </c>
      <c r="Q1278" s="28" t="s">
        <v>254</v>
      </c>
      <c r="R1278" s="28" t="s">
        <v>266</v>
      </c>
    </row>
    <row r="1279" spans="5:18" x14ac:dyDescent="0.25">
      <c r="H1279" s="28" t="s">
        <v>891</v>
      </c>
      <c r="K1279" s="28" t="s">
        <v>810</v>
      </c>
      <c r="N1279" s="28" t="s">
        <v>275</v>
      </c>
      <c r="O1279" s="28" t="s">
        <v>687</v>
      </c>
      <c r="R1279" s="28" t="s">
        <v>267</v>
      </c>
    </row>
    <row r="1280" spans="5:18" x14ac:dyDescent="0.25">
      <c r="H1280" s="28" t="s">
        <v>892</v>
      </c>
      <c r="J1280" s="28" t="s">
        <v>285</v>
      </c>
      <c r="K1280" s="28" t="s">
        <v>811</v>
      </c>
      <c r="M1280" s="28" t="s">
        <v>1105</v>
      </c>
      <c r="O1280" s="28" t="s">
        <v>711</v>
      </c>
      <c r="Q1280" s="28" t="s">
        <v>262</v>
      </c>
      <c r="R1280" s="28" t="s">
        <v>268</v>
      </c>
    </row>
    <row r="1281" spans="8:18" x14ac:dyDescent="0.25">
      <c r="K1281" s="28" t="s">
        <v>812</v>
      </c>
      <c r="M1281" s="28" t="s">
        <v>927</v>
      </c>
      <c r="N1281" s="28" t="s">
        <v>891</v>
      </c>
    </row>
    <row r="1282" spans="8:18" x14ac:dyDescent="0.25">
      <c r="H1282" s="28" t="s">
        <v>779</v>
      </c>
      <c r="J1282" s="28" t="s">
        <v>918</v>
      </c>
      <c r="K1282" s="28" t="s">
        <v>809</v>
      </c>
      <c r="N1282" s="28" t="s">
        <v>892</v>
      </c>
      <c r="O1282" s="28" t="s">
        <v>886</v>
      </c>
      <c r="Q1282" s="28" t="s">
        <v>254</v>
      </c>
      <c r="R1282" s="28" t="s">
        <v>269</v>
      </c>
    </row>
    <row r="1283" spans="8:18" x14ac:dyDescent="0.25">
      <c r="H1283" s="28" t="s">
        <v>778</v>
      </c>
      <c r="J1283" s="28" t="s">
        <v>677</v>
      </c>
      <c r="K1283" s="28" t="s">
        <v>813</v>
      </c>
      <c r="M1283" s="28" t="s">
        <v>722</v>
      </c>
      <c r="Q1283" s="28" t="s">
        <v>255</v>
      </c>
      <c r="R1283" s="28" t="s">
        <v>270</v>
      </c>
    </row>
    <row r="1284" spans="8:18" x14ac:dyDescent="0.25">
      <c r="K1284" s="28" t="s">
        <v>811</v>
      </c>
      <c r="N1284" s="28" t="s">
        <v>779</v>
      </c>
      <c r="O1284" s="28" t="s">
        <v>205</v>
      </c>
      <c r="Q1284" s="28" t="s">
        <v>263</v>
      </c>
      <c r="R1284" s="28" t="s">
        <v>268</v>
      </c>
    </row>
    <row r="1285" spans="8:18" x14ac:dyDescent="0.25">
      <c r="H1285" s="28" t="s">
        <v>924</v>
      </c>
      <c r="J1285" s="28" t="s">
        <v>378</v>
      </c>
      <c r="K1285" s="28" t="s">
        <v>814</v>
      </c>
      <c r="M1285" s="28" t="s">
        <v>809</v>
      </c>
      <c r="N1285" s="28" t="s">
        <v>778</v>
      </c>
      <c r="Q1285" s="28" t="s">
        <v>261</v>
      </c>
      <c r="R1285" s="28" t="s">
        <v>267</v>
      </c>
    </row>
    <row r="1286" spans="8:18" x14ac:dyDescent="0.25">
      <c r="K1286" s="28" t="s">
        <v>815</v>
      </c>
      <c r="M1286" s="28" t="s">
        <v>810</v>
      </c>
      <c r="O1286" s="28" t="s">
        <v>887</v>
      </c>
      <c r="Q1286" s="28" t="s">
        <v>245</v>
      </c>
      <c r="R1286" s="28" t="s">
        <v>269</v>
      </c>
    </row>
    <row r="1287" spans="8:18" x14ac:dyDescent="0.25">
      <c r="H1287" s="28" t="s">
        <v>785</v>
      </c>
      <c r="J1287" s="28" t="s">
        <v>677</v>
      </c>
      <c r="K1287" s="28" t="s">
        <v>809</v>
      </c>
      <c r="M1287" s="28" t="s">
        <v>811</v>
      </c>
      <c r="N1287" s="28" t="s">
        <v>1243</v>
      </c>
      <c r="O1287" s="28" t="s">
        <v>888</v>
      </c>
      <c r="Q1287" s="28" t="s">
        <v>264</v>
      </c>
      <c r="R1287" s="28" t="s">
        <v>265</v>
      </c>
    </row>
    <row r="1288" spans="8:18" x14ac:dyDescent="0.25">
      <c r="K1288" s="28" t="s">
        <v>816</v>
      </c>
      <c r="M1288" s="28" t="s">
        <v>812</v>
      </c>
      <c r="O1288" s="28" t="s">
        <v>1289</v>
      </c>
      <c r="R1288" s="28" t="s">
        <v>254</v>
      </c>
    </row>
    <row r="1289" spans="8:18" x14ac:dyDescent="0.25">
      <c r="H1289" s="28" t="s">
        <v>894</v>
      </c>
      <c r="J1289" s="28" t="s">
        <v>1014</v>
      </c>
      <c r="M1289" s="28" t="s">
        <v>809</v>
      </c>
      <c r="N1289" s="28" t="s">
        <v>785</v>
      </c>
      <c r="Q1289" s="28" t="s">
        <v>255</v>
      </c>
    </row>
    <row r="1290" spans="8:18" x14ac:dyDescent="0.25">
      <c r="K1290" s="28" t="s">
        <v>909</v>
      </c>
      <c r="M1290" s="28" t="s">
        <v>813</v>
      </c>
      <c r="O1290" s="28" t="s">
        <v>889</v>
      </c>
      <c r="R1290" s="28" t="s">
        <v>271</v>
      </c>
    </row>
    <row r="1291" spans="8:18" x14ac:dyDescent="0.25">
      <c r="H1291" s="28" t="s">
        <v>895</v>
      </c>
      <c r="J1291" s="28" t="s">
        <v>425</v>
      </c>
      <c r="K1291" s="28" t="s">
        <v>910</v>
      </c>
      <c r="M1291" s="28" t="s">
        <v>811</v>
      </c>
      <c r="N1291" s="28" t="s">
        <v>894</v>
      </c>
      <c r="O1291" s="28" t="s">
        <v>1289</v>
      </c>
      <c r="Q1291" s="28" t="s">
        <v>250</v>
      </c>
    </row>
    <row r="1292" spans="8:18" x14ac:dyDescent="0.25">
      <c r="J1292" s="28" t="s">
        <v>677</v>
      </c>
      <c r="M1292" s="28" t="s">
        <v>814</v>
      </c>
      <c r="Q1292" s="28" t="s">
        <v>261</v>
      </c>
      <c r="R1292" s="28" t="s">
        <v>273</v>
      </c>
    </row>
    <row r="1293" spans="8:18" x14ac:dyDescent="0.25">
      <c r="H1293" s="28" t="s">
        <v>896</v>
      </c>
      <c r="K1293" s="28" t="s">
        <v>810</v>
      </c>
      <c r="M1293" s="28" t="s">
        <v>815</v>
      </c>
      <c r="N1293" s="28" t="s">
        <v>895</v>
      </c>
      <c r="O1293" s="28" t="s">
        <v>1287</v>
      </c>
      <c r="Q1293" s="28" t="s">
        <v>245</v>
      </c>
      <c r="R1293" s="28" t="s">
        <v>274</v>
      </c>
    </row>
    <row r="1294" spans="8:18" x14ac:dyDescent="0.25">
      <c r="J1294" s="28" t="s">
        <v>1014</v>
      </c>
      <c r="M1294" s="28" t="s">
        <v>809</v>
      </c>
      <c r="Q1294" s="28" t="s">
        <v>263</v>
      </c>
      <c r="R1294" s="28" t="s">
        <v>266</v>
      </c>
    </row>
    <row r="1295" spans="8:18" x14ac:dyDescent="0.25">
      <c r="H1295" s="28" t="s">
        <v>897</v>
      </c>
      <c r="K1295" s="28" t="s">
        <v>811</v>
      </c>
      <c r="M1295" s="28" t="s">
        <v>816</v>
      </c>
      <c r="N1295" s="28" t="s">
        <v>896</v>
      </c>
      <c r="O1295" s="28" t="s">
        <v>160</v>
      </c>
      <c r="Q1295" s="28" t="s">
        <v>254</v>
      </c>
      <c r="R1295" s="28" t="s">
        <v>275</v>
      </c>
    </row>
    <row r="1296" spans="8:18" x14ac:dyDescent="0.25">
      <c r="J1296" s="28" t="s">
        <v>1046</v>
      </c>
      <c r="K1296" s="28" t="s">
        <v>820</v>
      </c>
      <c r="Q1296" s="28" t="s">
        <v>253</v>
      </c>
    </row>
    <row r="1297" spans="8:18" x14ac:dyDescent="0.25">
      <c r="H1297" s="28" t="s">
        <v>898</v>
      </c>
      <c r="K1297" s="28" t="s">
        <v>821</v>
      </c>
      <c r="M1297" s="28" t="s">
        <v>909</v>
      </c>
      <c r="N1297" s="28" t="s">
        <v>897</v>
      </c>
      <c r="O1297" s="28" t="s">
        <v>1264</v>
      </c>
      <c r="R1297" s="28" t="s">
        <v>1379</v>
      </c>
    </row>
    <row r="1298" spans="8:18" x14ac:dyDescent="0.25">
      <c r="J1298" s="28" t="s">
        <v>809</v>
      </c>
      <c r="M1298" s="28" t="s">
        <v>910</v>
      </c>
      <c r="Q1298" s="28" t="s">
        <v>254</v>
      </c>
      <c r="R1298" s="28" t="s">
        <v>1380</v>
      </c>
    </row>
    <row r="1299" spans="8:18" x14ac:dyDescent="0.25">
      <c r="H1299" s="28" t="s">
        <v>899</v>
      </c>
      <c r="J1299" s="28" t="s">
        <v>810</v>
      </c>
      <c r="K1299" s="28" t="s">
        <v>811</v>
      </c>
      <c r="N1299" s="28" t="s">
        <v>898</v>
      </c>
      <c r="O1299" s="28" t="s">
        <v>1287</v>
      </c>
      <c r="Q1299" s="28" t="s">
        <v>255</v>
      </c>
    </row>
    <row r="1300" spans="8:18" x14ac:dyDescent="0.25">
      <c r="J1300" s="28" t="s">
        <v>811</v>
      </c>
      <c r="K1300" s="28" t="s">
        <v>822</v>
      </c>
      <c r="M1300" s="28" t="s">
        <v>810</v>
      </c>
      <c r="Q1300" s="28" t="s">
        <v>248</v>
      </c>
      <c r="R1300" s="28" t="s">
        <v>1379</v>
      </c>
    </row>
    <row r="1301" spans="8:18" x14ac:dyDescent="0.25">
      <c r="H1301" s="28" t="s">
        <v>900</v>
      </c>
      <c r="J1301" s="28" t="s">
        <v>812</v>
      </c>
      <c r="K1301" s="28" t="s">
        <v>811</v>
      </c>
      <c r="N1301" s="28" t="s">
        <v>899</v>
      </c>
      <c r="O1301" s="28" t="s">
        <v>419</v>
      </c>
      <c r="Q1301" s="28" t="s">
        <v>246</v>
      </c>
      <c r="R1301" s="28" t="s">
        <v>1380</v>
      </c>
    </row>
    <row r="1302" spans="8:18" x14ac:dyDescent="0.25">
      <c r="J1302" s="28" t="s">
        <v>809</v>
      </c>
      <c r="M1302" s="28" t="s">
        <v>811</v>
      </c>
      <c r="O1302" s="28" t="s">
        <v>545</v>
      </c>
      <c r="Q1302" s="28" t="s">
        <v>256</v>
      </c>
    </row>
    <row r="1303" spans="8:18" x14ac:dyDescent="0.25">
      <c r="H1303" s="28" t="s">
        <v>901</v>
      </c>
      <c r="J1303" s="28" t="s">
        <v>813</v>
      </c>
      <c r="K1303" s="28" t="s">
        <v>911</v>
      </c>
      <c r="M1303" s="28" t="s">
        <v>820</v>
      </c>
      <c r="N1303" s="28" t="s">
        <v>900</v>
      </c>
      <c r="R1303" s="28" t="s">
        <v>1389</v>
      </c>
    </row>
    <row r="1304" spans="8:18" x14ac:dyDescent="0.25">
      <c r="J1304" s="28" t="s">
        <v>811</v>
      </c>
      <c r="M1304" s="28" t="s">
        <v>821</v>
      </c>
      <c r="O1304" s="28" t="s">
        <v>502</v>
      </c>
      <c r="Q1304" s="28" t="s">
        <v>265</v>
      </c>
    </row>
    <row r="1305" spans="8:18" x14ac:dyDescent="0.25">
      <c r="H1305" s="28" t="s">
        <v>902</v>
      </c>
      <c r="J1305" s="28" t="s">
        <v>814</v>
      </c>
      <c r="K1305" s="28" t="s">
        <v>823</v>
      </c>
      <c r="N1305" s="28" t="s">
        <v>901</v>
      </c>
      <c r="Q1305" s="28" t="s">
        <v>266</v>
      </c>
      <c r="R1305" s="28" t="s">
        <v>1520</v>
      </c>
    </row>
    <row r="1306" spans="8:18" x14ac:dyDescent="0.25">
      <c r="J1306" s="28" t="s">
        <v>815</v>
      </c>
      <c r="K1306" s="28" t="s">
        <v>809</v>
      </c>
      <c r="M1306" s="28" t="s">
        <v>811</v>
      </c>
      <c r="O1306" s="28" t="s">
        <v>502</v>
      </c>
      <c r="Q1306" s="28" t="s">
        <v>267</v>
      </c>
    </row>
    <row r="1307" spans="8:18" x14ac:dyDescent="0.25">
      <c r="H1307" s="28" t="s">
        <v>903</v>
      </c>
      <c r="J1307" s="28" t="s">
        <v>809</v>
      </c>
      <c r="K1307" s="28" t="s">
        <v>826</v>
      </c>
      <c r="M1307" s="28" t="s">
        <v>822</v>
      </c>
      <c r="N1307" s="28" t="s">
        <v>902</v>
      </c>
      <c r="Q1307" s="28" t="s">
        <v>268</v>
      </c>
      <c r="R1307" s="28" t="s">
        <v>454</v>
      </c>
    </row>
    <row r="1308" spans="8:18" x14ac:dyDescent="0.25">
      <c r="J1308" s="28" t="s">
        <v>816</v>
      </c>
      <c r="M1308" s="28" t="s">
        <v>811</v>
      </c>
      <c r="O1308" s="28" t="s">
        <v>916</v>
      </c>
    </row>
    <row r="1309" spans="8:18" x14ac:dyDescent="0.25">
      <c r="H1309" s="28" t="s">
        <v>77</v>
      </c>
      <c r="K1309" s="28" t="s">
        <v>827</v>
      </c>
      <c r="N1309" s="28" t="s">
        <v>903</v>
      </c>
      <c r="Q1309" s="28" t="s">
        <v>269</v>
      </c>
      <c r="R1309" s="28" t="s">
        <v>891</v>
      </c>
    </row>
    <row r="1310" spans="8:18" x14ac:dyDescent="0.25">
      <c r="J1310" s="28" t="s">
        <v>909</v>
      </c>
      <c r="K1310" s="28" t="s">
        <v>823</v>
      </c>
      <c r="M1310" s="28" t="s">
        <v>911</v>
      </c>
      <c r="O1310" s="28" t="s">
        <v>452</v>
      </c>
      <c r="Q1310" s="28" t="s">
        <v>270</v>
      </c>
      <c r="R1310" s="28" t="s">
        <v>892</v>
      </c>
    </row>
    <row r="1311" spans="8:18" x14ac:dyDescent="0.25">
      <c r="H1311" s="28" t="s">
        <v>904</v>
      </c>
      <c r="J1311" s="28" t="s">
        <v>910</v>
      </c>
      <c r="K1311" s="28" t="s">
        <v>809</v>
      </c>
      <c r="N1311" s="28" t="s">
        <v>1242</v>
      </c>
      <c r="Q1311" s="28" t="s">
        <v>268</v>
      </c>
    </row>
    <row r="1312" spans="8:18" x14ac:dyDescent="0.25">
      <c r="M1312" s="28" t="s">
        <v>823</v>
      </c>
      <c r="O1312" s="28" t="s">
        <v>935</v>
      </c>
      <c r="Q1312" s="28" t="s">
        <v>267</v>
      </c>
      <c r="R1312" s="28" t="s">
        <v>779</v>
      </c>
    </row>
    <row r="1313" spans="8:18" x14ac:dyDescent="0.25">
      <c r="H1313" s="28" t="s">
        <v>780</v>
      </c>
      <c r="J1313" s="28" t="s">
        <v>810</v>
      </c>
      <c r="K1313" s="28" t="s">
        <v>912</v>
      </c>
      <c r="M1313" s="28" t="s">
        <v>809</v>
      </c>
      <c r="N1313" s="28" t="s">
        <v>77</v>
      </c>
      <c r="Q1313" s="28" t="s">
        <v>269</v>
      </c>
      <c r="R1313" s="28" t="s">
        <v>778</v>
      </c>
    </row>
    <row r="1314" spans="8:18" x14ac:dyDescent="0.25">
      <c r="M1314" s="28" t="s">
        <v>826</v>
      </c>
      <c r="O1314" s="28" t="s">
        <v>419</v>
      </c>
      <c r="Q1314" s="28" t="s">
        <v>265</v>
      </c>
    </row>
    <row r="1315" spans="8:18" x14ac:dyDescent="0.25">
      <c r="H1315" s="28" t="s">
        <v>905</v>
      </c>
      <c r="J1315" s="28" t="s">
        <v>811</v>
      </c>
      <c r="K1315" s="28" t="s">
        <v>810</v>
      </c>
      <c r="N1315" s="28" t="s">
        <v>972</v>
      </c>
      <c r="O1315" s="28" t="s">
        <v>545</v>
      </c>
      <c r="Q1315" s="28" t="s">
        <v>254</v>
      </c>
      <c r="R1315" s="28" t="s">
        <v>1521</v>
      </c>
    </row>
    <row r="1316" spans="8:18" x14ac:dyDescent="0.25">
      <c r="H1316" s="28" t="s">
        <v>758</v>
      </c>
      <c r="J1316" s="28" t="s">
        <v>820</v>
      </c>
      <c r="K1316" s="28" t="s">
        <v>818</v>
      </c>
      <c r="M1316" s="28" t="s">
        <v>827</v>
      </c>
    </row>
    <row r="1317" spans="8:18" x14ac:dyDescent="0.25">
      <c r="J1317" s="28" t="s">
        <v>821</v>
      </c>
      <c r="M1317" s="28" t="s">
        <v>823</v>
      </c>
      <c r="N1317" s="28" t="s">
        <v>905</v>
      </c>
      <c r="O1317" s="28" t="s">
        <v>916</v>
      </c>
      <c r="Q1317" s="28" t="s">
        <v>271</v>
      </c>
      <c r="R1317" s="28" t="s">
        <v>77</v>
      </c>
    </row>
    <row r="1318" spans="8:18" x14ac:dyDescent="0.25">
      <c r="H1318" s="28" t="s">
        <v>326</v>
      </c>
      <c r="K1318" s="28" t="s">
        <v>265</v>
      </c>
      <c r="M1318" s="28" t="s">
        <v>809</v>
      </c>
      <c r="N1318" s="28" t="s">
        <v>1187</v>
      </c>
    </row>
    <row r="1319" spans="8:18" x14ac:dyDescent="0.25">
      <c r="H1319" s="28" t="s">
        <v>899</v>
      </c>
      <c r="J1319" s="28" t="s">
        <v>811</v>
      </c>
      <c r="K1319" s="28" t="s">
        <v>266</v>
      </c>
      <c r="O1319" s="28" t="s">
        <v>452</v>
      </c>
      <c r="Q1319" s="28" t="s">
        <v>273</v>
      </c>
      <c r="R1319" s="28" t="s">
        <v>1512</v>
      </c>
    </row>
    <row r="1320" spans="8:18" x14ac:dyDescent="0.25">
      <c r="J1320" s="28" t="s">
        <v>822</v>
      </c>
      <c r="K1320" s="28" t="s">
        <v>267</v>
      </c>
      <c r="M1320" s="28" t="s">
        <v>912</v>
      </c>
      <c r="N1320" s="28" t="s">
        <v>326</v>
      </c>
      <c r="Q1320" s="28" t="s">
        <v>274</v>
      </c>
    </row>
    <row r="1321" spans="8:18" x14ac:dyDescent="0.25">
      <c r="H1321" s="28" t="s">
        <v>73</v>
      </c>
      <c r="J1321" s="28" t="s">
        <v>811</v>
      </c>
      <c r="K1321" s="28" t="s">
        <v>268</v>
      </c>
      <c r="N1321" s="28" t="s">
        <v>899</v>
      </c>
      <c r="O1321" s="28" t="s">
        <v>864</v>
      </c>
      <c r="Q1321" s="28" t="s">
        <v>266</v>
      </c>
      <c r="R1321" s="28" t="s">
        <v>786</v>
      </c>
    </row>
    <row r="1322" spans="8:18" x14ac:dyDescent="0.25">
      <c r="M1322" s="28" t="s">
        <v>810</v>
      </c>
      <c r="Q1322" s="28" t="s">
        <v>275</v>
      </c>
    </row>
    <row r="1323" spans="8:18" x14ac:dyDescent="0.25">
      <c r="H1323" s="28" t="s">
        <v>906</v>
      </c>
      <c r="J1323" s="28" t="s">
        <v>911</v>
      </c>
      <c r="K1323" s="28" t="s">
        <v>269</v>
      </c>
      <c r="M1323" s="28" t="s">
        <v>818</v>
      </c>
      <c r="N1323" s="28" t="s">
        <v>82</v>
      </c>
      <c r="O1323" s="28" t="s">
        <v>49</v>
      </c>
      <c r="R1323" s="28" t="s">
        <v>1383</v>
      </c>
    </row>
    <row r="1324" spans="8:18" x14ac:dyDescent="0.25">
      <c r="H1324" s="28" t="s">
        <v>907</v>
      </c>
      <c r="K1324" s="28" t="s">
        <v>270</v>
      </c>
      <c r="Q1324" s="28" t="s">
        <v>891</v>
      </c>
      <c r="R1324" s="28" t="s">
        <v>1497</v>
      </c>
    </row>
    <row r="1325" spans="8:18" x14ac:dyDescent="0.25">
      <c r="J1325" s="28" t="s">
        <v>823</v>
      </c>
      <c r="K1325" s="28" t="s">
        <v>268</v>
      </c>
      <c r="M1325" s="28" t="s">
        <v>265</v>
      </c>
      <c r="N1325" s="28" t="s">
        <v>906</v>
      </c>
      <c r="O1325" s="28" t="s">
        <v>426</v>
      </c>
      <c r="Q1325" s="28" t="s">
        <v>892</v>
      </c>
    </row>
    <row r="1326" spans="8:18" x14ac:dyDescent="0.25">
      <c r="H1326" s="28" t="s">
        <v>285</v>
      </c>
      <c r="J1326" s="28" t="s">
        <v>809</v>
      </c>
      <c r="K1326" s="28" t="s">
        <v>267</v>
      </c>
      <c r="M1326" s="28" t="s">
        <v>266</v>
      </c>
      <c r="N1326" s="28" t="s">
        <v>907</v>
      </c>
      <c r="O1326" s="28" t="s">
        <v>930</v>
      </c>
      <c r="R1326" s="28" t="s">
        <v>326</v>
      </c>
    </row>
    <row r="1327" spans="8:18" x14ac:dyDescent="0.25">
      <c r="J1327" s="28" t="s">
        <v>826</v>
      </c>
      <c r="K1327" s="28" t="s">
        <v>269</v>
      </c>
      <c r="M1327" s="28" t="s">
        <v>267</v>
      </c>
      <c r="Q1327" s="28" t="s">
        <v>779</v>
      </c>
      <c r="R1327" s="28" t="s">
        <v>327</v>
      </c>
    </row>
    <row r="1328" spans="8:18" x14ac:dyDescent="0.25">
      <c r="H1328" s="28" t="s">
        <v>908</v>
      </c>
      <c r="K1328" s="28" t="s">
        <v>265</v>
      </c>
      <c r="M1328" s="28" t="s">
        <v>268</v>
      </c>
      <c r="N1328" s="28" t="s">
        <v>244</v>
      </c>
      <c r="O1328" s="28" t="s">
        <v>941</v>
      </c>
      <c r="Q1328" s="28" t="s">
        <v>778</v>
      </c>
    </row>
    <row r="1329" spans="8:18" x14ac:dyDescent="0.25">
      <c r="J1329" s="28" t="s">
        <v>827</v>
      </c>
      <c r="K1329" s="28" t="s">
        <v>254</v>
      </c>
      <c r="R1329" s="28" t="s">
        <v>73</v>
      </c>
    </row>
    <row r="1330" spans="8:18" x14ac:dyDescent="0.25">
      <c r="H1330" s="28" t="s">
        <v>878</v>
      </c>
      <c r="J1330" s="28" t="s">
        <v>823</v>
      </c>
      <c r="M1330" s="28" t="s">
        <v>269</v>
      </c>
      <c r="N1330" s="28" t="s">
        <v>908</v>
      </c>
      <c r="O1330" s="28" t="s">
        <v>562</v>
      </c>
      <c r="Q1330" s="28" t="s">
        <v>1461</v>
      </c>
    </row>
    <row r="1331" spans="8:18" x14ac:dyDescent="0.25">
      <c r="H1331" s="28" t="s">
        <v>705</v>
      </c>
      <c r="J1331" s="28" t="s">
        <v>809</v>
      </c>
      <c r="K1331" s="28" t="s">
        <v>271</v>
      </c>
      <c r="M1331" s="28" t="s">
        <v>270</v>
      </c>
      <c r="R1331" s="28" t="s">
        <v>906</v>
      </c>
    </row>
    <row r="1332" spans="8:18" x14ac:dyDescent="0.25">
      <c r="H1332" s="28" t="s">
        <v>667</v>
      </c>
      <c r="M1332" s="28" t="s">
        <v>268</v>
      </c>
      <c r="N1332" s="28" t="s">
        <v>1244</v>
      </c>
      <c r="O1332" s="28" t="s">
        <v>212</v>
      </c>
      <c r="Q1332" s="28" t="s">
        <v>77</v>
      </c>
      <c r="R1332" s="28" t="s">
        <v>350</v>
      </c>
    </row>
    <row r="1333" spans="8:18" x14ac:dyDescent="0.25">
      <c r="J1333" s="28" t="s">
        <v>912</v>
      </c>
      <c r="K1333" s="28" t="s">
        <v>273</v>
      </c>
      <c r="M1333" s="28" t="s">
        <v>267</v>
      </c>
    </row>
    <row r="1334" spans="8:18" x14ac:dyDescent="0.25">
      <c r="H1334" s="28" t="s">
        <v>914</v>
      </c>
      <c r="K1334" s="28" t="s">
        <v>274</v>
      </c>
      <c r="M1334" s="28" t="s">
        <v>269</v>
      </c>
      <c r="N1334" s="28" t="s">
        <v>390</v>
      </c>
      <c r="O1334" s="28" t="s">
        <v>285</v>
      </c>
      <c r="Q1334" s="28" t="s">
        <v>1459</v>
      </c>
      <c r="R1334" s="28" t="s">
        <v>243</v>
      </c>
    </row>
    <row r="1335" spans="8:18" x14ac:dyDescent="0.25">
      <c r="J1335" s="28" t="s">
        <v>810</v>
      </c>
      <c r="K1335" s="28" t="s">
        <v>266</v>
      </c>
      <c r="M1335" s="28" t="s">
        <v>265</v>
      </c>
    </row>
    <row r="1336" spans="8:18" x14ac:dyDescent="0.25">
      <c r="H1336" s="28" t="s">
        <v>880</v>
      </c>
      <c r="J1336" s="28" t="s">
        <v>818</v>
      </c>
      <c r="K1336" s="28" t="s">
        <v>275</v>
      </c>
      <c r="M1336" s="28" t="s">
        <v>254</v>
      </c>
      <c r="N1336" s="28" t="s">
        <v>915</v>
      </c>
      <c r="O1336" s="28" t="s">
        <v>212</v>
      </c>
      <c r="Q1336" s="28" t="s">
        <v>786</v>
      </c>
      <c r="R1336" s="28" t="s">
        <v>1384</v>
      </c>
    </row>
    <row r="1337" spans="8:18" x14ac:dyDescent="0.25">
      <c r="H1337" s="28" t="s">
        <v>881</v>
      </c>
      <c r="N1337" s="28" t="s">
        <v>705</v>
      </c>
    </row>
    <row r="1338" spans="8:18" x14ac:dyDescent="0.25">
      <c r="H1338" s="28" t="s">
        <v>882</v>
      </c>
      <c r="J1338" s="28" t="s">
        <v>265</v>
      </c>
      <c r="K1338" s="28" t="s">
        <v>891</v>
      </c>
      <c r="M1338" s="28" t="s">
        <v>271</v>
      </c>
      <c r="N1338" s="28" t="s">
        <v>1169</v>
      </c>
      <c r="O1338" s="28" t="s">
        <v>918</v>
      </c>
      <c r="Q1338" s="28" t="s">
        <v>1383</v>
      </c>
      <c r="R1338" s="28" t="s">
        <v>1385</v>
      </c>
    </row>
    <row r="1339" spans="8:18" x14ac:dyDescent="0.25">
      <c r="J1339" s="28" t="s">
        <v>266</v>
      </c>
      <c r="K1339" s="28" t="s">
        <v>892</v>
      </c>
      <c r="O1339" s="28" t="s">
        <v>1006</v>
      </c>
      <c r="Q1339" s="28" t="s">
        <v>1445</v>
      </c>
    </row>
    <row r="1340" spans="8:18" x14ac:dyDescent="0.25">
      <c r="H1340" s="28" t="s">
        <v>883</v>
      </c>
      <c r="J1340" s="28" t="s">
        <v>267</v>
      </c>
      <c r="M1340" s="28" t="s">
        <v>273</v>
      </c>
      <c r="N1340" s="28" t="s">
        <v>879</v>
      </c>
      <c r="R1340" s="28" t="s">
        <v>1386</v>
      </c>
    </row>
    <row r="1341" spans="8:18" x14ac:dyDescent="0.25">
      <c r="J1341" s="28" t="s">
        <v>268</v>
      </c>
      <c r="K1341" s="28" t="s">
        <v>779</v>
      </c>
      <c r="M1341" s="28" t="s">
        <v>274</v>
      </c>
      <c r="O1341" s="28" t="s">
        <v>925</v>
      </c>
      <c r="Q1341" s="28" t="s">
        <v>326</v>
      </c>
    </row>
    <row r="1342" spans="8:18" x14ac:dyDescent="0.25">
      <c r="H1342" s="28" t="s">
        <v>884</v>
      </c>
      <c r="K1342" s="28" t="s">
        <v>778</v>
      </c>
      <c r="M1342" s="28" t="s">
        <v>266</v>
      </c>
      <c r="N1342" s="28" t="s">
        <v>880</v>
      </c>
      <c r="Q1342" s="28" t="s">
        <v>327</v>
      </c>
      <c r="R1342" s="28" t="s">
        <v>365</v>
      </c>
    </row>
    <row r="1343" spans="8:18" x14ac:dyDescent="0.25">
      <c r="J1343" s="28" t="s">
        <v>269</v>
      </c>
      <c r="M1343" s="28" t="s">
        <v>275</v>
      </c>
      <c r="N1343" s="28" t="s">
        <v>881</v>
      </c>
      <c r="O1343" s="28" t="s">
        <v>420</v>
      </c>
    </row>
    <row r="1344" spans="8:18" x14ac:dyDescent="0.25">
      <c r="H1344" s="28" t="s">
        <v>885</v>
      </c>
      <c r="J1344" s="28" t="s">
        <v>270</v>
      </c>
      <c r="K1344" s="28" t="s">
        <v>1110</v>
      </c>
      <c r="N1344" s="28" t="s">
        <v>882</v>
      </c>
      <c r="Q1344" s="28" t="s">
        <v>73</v>
      </c>
    </row>
    <row r="1345" spans="8:17" x14ac:dyDescent="0.25">
      <c r="J1345" s="28" t="s">
        <v>268</v>
      </c>
      <c r="M1345" s="28" t="s">
        <v>891</v>
      </c>
      <c r="O1345" s="28" t="s">
        <v>927</v>
      </c>
    </row>
    <row r="1346" spans="8:17" x14ac:dyDescent="0.25">
      <c r="H1346" s="28" t="s">
        <v>687</v>
      </c>
      <c r="J1346" s="28" t="s">
        <v>267</v>
      </c>
      <c r="K1346" s="28" t="s">
        <v>785</v>
      </c>
      <c r="M1346" s="28" t="s">
        <v>892</v>
      </c>
      <c r="N1346" s="28" t="s">
        <v>883</v>
      </c>
      <c r="Q1346" s="28" t="s">
        <v>906</v>
      </c>
    </row>
    <row r="1347" spans="8:17" x14ac:dyDescent="0.25">
      <c r="H1347" s="28" t="s">
        <v>711</v>
      </c>
      <c r="J1347" s="28" t="s">
        <v>269</v>
      </c>
      <c r="O1347" s="28" t="s">
        <v>1287</v>
      </c>
      <c r="Q1347" s="28" t="s">
        <v>350</v>
      </c>
    </row>
    <row r="1348" spans="8:17" x14ac:dyDescent="0.25">
      <c r="J1348" s="28" t="s">
        <v>265</v>
      </c>
      <c r="K1348" s="28" t="s">
        <v>894</v>
      </c>
      <c r="M1348" s="28" t="s">
        <v>779</v>
      </c>
      <c r="N1348" s="28" t="s">
        <v>884</v>
      </c>
    </row>
    <row r="1349" spans="8:17" x14ac:dyDescent="0.25">
      <c r="H1349" s="28" t="s">
        <v>886</v>
      </c>
      <c r="J1349" s="28" t="s">
        <v>254</v>
      </c>
      <c r="M1349" s="28" t="s">
        <v>778</v>
      </c>
      <c r="O1349" s="28" t="s">
        <v>49</v>
      </c>
      <c r="Q1349" s="28" t="s">
        <v>285</v>
      </c>
    </row>
    <row r="1350" spans="8:17" x14ac:dyDescent="0.25">
      <c r="K1350" s="28" t="s">
        <v>895</v>
      </c>
      <c r="N1350" s="28" t="s">
        <v>885</v>
      </c>
    </row>
    <row r="1351" spans="8:17" x14ac:dyDescent="0.25">
      <c r="H1351" s="28" t="s">
        <v>205</v>
      </c>
      <c r="J1351" s="28" t="s">
        <v>271</v>
      </c>
      <c r="M1351" s="28" t="s">
        <v>1167</v>
      </c>
      <c r="O1351" s="28" t="s">
        <v>929</v>
      </c>
      <c r="Q1351" s="28" t="s">
        <v>1384</v>
      </c>
    </row>
    <row r="1352" spans="8:17" x14ac:dyDescent="0.25">
      <c r="K1352" s="28" t="s">
        <v>896</v>
      </c>
      <c r="N1352" s="28" t="s">
        <v>687</v>
      </c>
      <c r="O1352" s="28" t="s">
        <v>930</v>
      </c>
    </row>
    <row r="1353" spans="8:17" x14ac:dyDescent="0.25">
      <c r="H1353" s="28" t="s">
        <v>887</v>
      </c>
      <c r="J1353" s="28" t="s">
        <v>273</v>
      </c>
      <c r="M1353" s="28" t="s">
        <v>785</v>
      </c>
      <c r="N1353" s="28" t="s">
        <v>1176</v>
      </c>
      <c r="Q1353" s="28" t="s">
        <v>1385</v>
      </c>
    </row>
    <row r="1354" spans="8:17" x14ac:dyDescent="0.25">
      <c r="H1354" s="28" t="s">
        <v>888</v>
      </c>
      <c r="J1354" s="28" t="s">
        <v>274</v>
      </c>
      <c r="K1354" s="28" t="s">
        <v>897</v>
      </c>
      <c r="O1354" s="28" t="s">
        <v>160</v>
      </c>
    </row>
    <row r="1355" spans="8:17" x14ac:dyDescent="0.25">
      <c r="H1355" s="28" t="s">
        <v>717</v>
      </c>
      <c r="J1355" s="28" t="s">
        <v>266</v>
      </c>
      <c r="M1355" s="28" t="s">
        <v>894</v>
      </c>
      <c r="N1355" s="28" t="s">
        <v>886</v>
      </c>
      <c r="Q1355" s="28" t="s">
        <v>1386</v>
      </c>
    </row>
    <row r="1356" spans="8:17" x14ac:dyDescent="0.25">
      <c r="J1356" s="28" t="s">
        <v>275</v>
      </c>
      <c r="K1356" s="28" t="s">
        <v>898</v>
      </c>
      <c r="O1356" s="28" t="s">
        <v>243</v>
      </c>
    </row>
    <row r="1357" spans="8:17" x14ac:dyDescent="0.25">
      <c r="H1357" s="28" t="s">
        <v>889</v>
      </c>
      <c r="M1357" s="28" t="s">
        <v>895</v>
      </c>
      <c r="N1357" s="28" t="s">
        <v>205</v>
      </c>
      <c r="Q1357" s="28" t="s">
        <v>1371</v>
      </c>
    </row>
    <row r="1358" spans="8:17" x14ac:dyDescent="0.25">
      <c r="H1358" s="28" t="s">
        <v>717</v>
      </c>
      <c r="J1358" s="28" t="s">
        <v>915</v>
      </c>
      <c r="K1358" s="28" t="s">
        <v>899</v>
      </c>
      <c r="O1358" s="28" t="s">
        <v>212</v>
      </c>
      <c r="Q1358" s="28" t="s">
        <v>194</v>
      </c>
    </row>
    <row r="1359" spans="8:17" x14ac:dyDescent="0.25">
      <c r="J1359" s="28" t="s">
        <v>705</v>
      </c>
      <c r="M1359" s="28" t="s">
        <v>896</v>
      </c>
      <c r="N1359" s="28" t="s">
        <v>887</v>
      </c>
    </row>
    <row r="1360" spans="8:17" x14ac:dyDescent="0.25">
      <c r="H1360" s="28" t="s">
        <v>672</v>
      </c>
      <c r="J1360" s="28" t="s">
        <v>987</v>
      </c>
      <c r="K1360" s="28" t="s">
        <v>900</v>
      </c>
      <c r="N1360" s="28" t="s">
        <v>888</v>
      </c>
      <c r="O1360" s="28" t="s">
        <v>919</v>
      </c>
      <c r="Q1360" s="28" t="s">
        <v>190</v>
      </c>
    </row>
    <row r="1361" spans="8:17" x14ac:dyDescent="0.25">
      <c r="M1361" s="28" t="s">
        <v>897</v>
      </c>
      <c r="N1361" s="28" t="s">
        <v>1183</v>
      </c>
      <c r="O1361" s="28" t="s">
        <v>982</v>
      </c>
    </row>
    <row r="1362" spans="8:17" x14ac:dyDescent="0.25">
      <c r="H1362" s="28" t="s">
        <v>160</v>
      </c>
      <c r="J1362" s="28" t="s">
        <v>914</v>
      </c>
      <c r="K1362" s="28" t="s">
        <v>901</v>
      </c>
      <c r="Q1362" s="28" t="s">
        <v>1377</v>
      </c>
    </row>
    <row r="1363" spans="8:17" x14ac:dyDescent="0.25">
      <c r="M1363" s="28" t="s">
        <v>898</v>
      </c>
      <c r="N1363" s="28" t="s">
        <v>889</v>
      </c>
      <c r="O1363" s="28" t="s">
        <v>1325</v>
      </c>
      <c r="Q1363" s="28" t="s">
        <v>705</v>
      </c>
    </row>
    <row r="1364" spans="8:17" x14ac:dyDescent="0.25">
      <c r="H1364" s="28" t="s">
        <v>919</v>
      </c>
      <c r="J1364" s="28" t="s">
        <v>880</v>
      </c>
      <c r="K1364" s="28" t="s">
        <v>902</v>
      </c>
      <c r="N1364" s="28" t="s">
        <v>1183</v>
      </c>
      <c r="Q1364" s="28" t="s">
        <v>1400</v>
      </c>
    </row>
    <row r="1365" spans="8:17" x14ac:dyDescent="0.25">
      <c r="H1365" s="28" t="s">
        <v>677</v>
      </c>
      <c r="J1365" s="28" t="s">
        <v>881</v>
      </c>
      <c r="M1365" s="28" t="s">
        <v>899</v>
      </c>
      <c r="O1365" s="28" t="s">
        <v>212</v>
      </c>
    </row>
    <row r="1366" spans="8:17" x14ac:dyDescent="0.25">
      <c r="J1366" s="28" t="s">
        <v>882</v>
      </c>
      <c r="K1366" s="28" t="s">
        <v>903</v>
      </c>
      <c r="N1366" s="28" t="s">
        <v>1179</v>
      </c>
      <c r="Q1366" s="28" t="s">
        <v>1372</v>
      </c>
    </row>
    <row r="1367" spans="8:17" x14ac:dyDescent="0.25">
      <c r="H1367" s="28" t="s">
        <v>378</v>
      </c>
      <c r="M1367" s="28" t="s">
        <v>900</v>
      </c>
      <c r="O1367" s="28" t="s">
        <v>683</v>
      </c>
    </row>
    <row r="1368" spans="8:17" x14ac:dyDescent="0.25">
      <c r="J1368" s="28" t="s">
        <v>883</v>
      </c>
      <c r="K1368" s="28" t="s">
        <v>1108</v>
      </c>
      <c r="N1368" s="28" t="s">
        <v>160</v>
      </c>
      <c r="Q1368" s="28" t="s">
        <v>885</v>
      </c>
    </row>
    <row r="1369" spans="8:17" x14ac:dyDescent="0.25">
      <c r="H1369" s="28" t="s">
        <v>677</v>
      </c>
      <c r="M1369" s="28" t="s">
        <v>901</v>
      </c>
      <c r="O1369" s="28" t="s">
        <v>1326</v>
      </c>
    </row>
    <row r="1370" spans="8:17" x14ac:dyDescent="0.25">
      <c r="J1370" s="28" t="s">
        <v>884</v>
      </c>
      <c r="K1370" s="28" t="s">
        <v>77</v>
      </c>
      <c r="N1370" s="28" t="s">
        <v>963</v>
      </c>
      <c r="Q1370" s="28" t="s">
        <v>1373</v>
      </c>
    </row>
    <row r="1371" spans="8:17" x14ac:dyDescent="0.25">
      <c r="H1371" s="28" t="s">
        <v>672</v>
      </c>
      <c r="M1371" s="28" t="s">
        <v>902</v>
      </c>
      <c r="O1371" s="28" t="s">
        <v>891</v>
      </c>
    </row>
    <row r="1372" spans="8:17" x14ac:dyDescent="0.25">
      <c r="J1372" s="28" t="s">
        <v>885</v>
      </c>
      <c r="K1372" s="28" t="s">
        <v>972</v>
      </c>
      <c r="N1372" s="28" t="s">
        <v>1207</v>
      </c>
      <c r="O1372" s="28" t="s">
        <v>892</v>
      </c>
      <c r="Q1372" s="28" t="s">
        <v>687</v>
      </c>
    </row>
    <row r="1373" spans="8:17" x14ac:dyDescent="0.25">
      <c r="H1373" s="28" t="s">
        <v>925</v>
      </c>
      <c r="M1373" s="28" t="s">
        <v>903</v>
      </c>
      <c r="Q1373" s="28" t="s">
        <v>1438</v>
      </c>
    </row>
    <row r="1374" spans="8:17" x14ac:dyDescent="0.25">
      <c r="J1374" s="28" t="s">
        <v>687</v>
      </c>
      <c r="K1374" s="28" t="s">
        <v>905</v>
      </c>
      <c r="N1374" s="28" t="s">
        <v>1245</v>
      </c>
      <c r="O1374" s="28" t="s">
        <v>779</v>
      </c>
    </row>
    <row r="1375" spans="8:17" x14ac:dyDescent="0.25">
      <c r="H1375" s="28" t="s">
        <v>545</v>
      </c>
      <c r="J1375" s="28" t="s">
        <v>711</v>
      </c>
      <c r="K1375" s="28" t="s">
        <v>1084</v>
      </c>
      <c r="M1375" s="28" t="s">
        <v>1164</v>
      </c>
      <c r="O1375" s="28" t="s">
        <v>778</v>
      </c>
      <c r="Q1375" s="28" t="s">
        <v>1374</v>
      </c>
    </row>
    <row r="1376" spans="8:17" x14ac:dyDescent="0.25">
      <c r="N1376" s="28" t="s">
        <v>419</v>
      </c>
      <c r="Q1376" s="28" t="s">
        <v>882</v>
      </c>
    </row>
    <row r="1377" spans="8:17" x14ac:dyDescent="0.25">
      <c r="H1377" s="28" t="s">
        <v>422</v>
      </c>
      <c r="J1377" s="28" t="s">
        <v>886</v>
      </c>
      <c r="K1377" s="28" t="s">
        <v>326</v>
      </c>
      <c r="M1377" s="28" t="s">
        <v>77</v>
      </c>
      <c r="N1377" s="28" t="s">
        <v>545</v>
      </c>
      <c r="O1377" s="28" t="s">
        <v>1327</v>
      </c>
    </row>
    <row r="1378" spans="8:17" x14ac:dyDescent="0.25">
      <c r="H1378" s="28" t="s">
        <v>212</v>
      </c>
      <c r="K1378" s="28" t="s">
        <v>899</v>
      </c>
      <c r="N1378" s="28" t="s">
        <v>285</v>
      </c>
      <c r="Q1378" s="28" t="s">
        <v>1441</v>
      </c>
    </row>
    <row r="1379" spans="8:17" x14ac:dyDescent="0.25">
      <c r="J1379" s="28" t="s">
        <v>205</v>
      </c>
      <c r="M1379" s="28" t="s">
        <v>972</v>
      </c>
      <c r="O1379" s="28" t="s">
        <v>785</v>
      </c>
    </row>
    <row r="1380" spans="8:17" x14ac:dyDescent="0.25">
      <c r="H1380" s="28" t="s">
        <v>452</v>
      </c>
      <c r="K1380" s="28" t="s">
        <v>82</v>
      </c>
      <c r="N1380" s="28" t="s">
        <v>1246</v>
      </c>
      <c r="Q1380" s="28" t="s">
        <v>205</v>
      </c>
    </row>
    <row r="1381" spans="8:17" x14ac:dyDescent="0.25">
      <c r="J1381" s="28" t="s">
        <v>887</v>
      </c>
      <c r="M1381" s="28" t="s">
        <v>905</v>
      </c>
      <c r="O1381" s="28" t="s">
        <v>894</v>
      </c>
    </row>
    <row r="1382" spans="8:17" x14ac:dyDescent="0.25">
      <c r="H1382" s="28" t="s">
        <v>545</v>
      </c>
      <c r="J1382" s="28" t="s">
        <v>888</v>
      </c>
      <c r="K1382" s="28" t="s">
        <v>906</v>
      </c>
      <c r="M1382" s="28" t="s">
        <v>1158</v>
      </c>
      <c r="N1382" s="28" t="s">
        <v>419</v>
      </c>
      <c r="Q1382" s="28" t="s">
        <v>160</v>
      </c>
    </row>
    <row r="1383" spans="8:17" x14ac:dyDescent="0.25">
      <c r="J1383" s="28" t="s">
        <v>1012</v>
      </c>
      <c r="K1383" s="28" t="s">
        <v>907</v>
      </c>
      <c r="O1383" s="28" t="s">
        <v>895</v>
      </c>
    </row>
    <row r="1384" spans="8:17" x14ac:dyDescent="0.25">
      <c r="H1384" s="28" t="s">
        <v>502</v>
      </c>
      <c r="M1384" s="28" t="s">
        <v>326</v>
      </c>
      <c r="N1384" s="28" t="s">
        <v>1247</v>
      </c>
      <c r="Q1384" s="28" t="s">
        <v>1375</v>
      </c>
    </row>
    <row r="1385" spans="8:17" x14ac:dyDescent="0.25">
      <c r="J1385" s="28" t="s">
        <v>889</v>
      </c>
      <c r="K1385" s="28" t="s">
        <v>285</v>
      </c>
      <c r="M1385" s="28" t="s">
        <v>899</v>
      </c>
      <c r="O1385" s="28" t="s">
        <v>896</v>
      </c>
      <c r="Q1385" s="28" t="s">
        <v>1376</v>
      </c>
    </row>
    <row r="1386" spans="8:17" x14ac:dyDescent="0.25">
      <c r="H1386" s="28" t="s">
        <v>452</v>
      </c>
      <c r="N1386" s="28" t="s">
        <v>424</v>
      </c>
    </row>
    <row r="1387" spans="8:17" x14ac:dyDescent="0.25">
      <c r="J1387" s="28" t="s">
        <v>1012</v>
      </c>
      <c r="K1387" s="28" t="s">
        <v>908</v>
      </c>
      <c r="M1387" s="28" t="s">
        <v>82</v>
      </c>
      <c r="O1387" s="28" t="s">
        <v>897</v>
      </c>
      <c r="Q1387" s="28" t="s">
        <v>689</v>
      </c>
    </row>
    <row r="1388" spans="8:17" x14ac:dyDescent="0.25">
      <c r="H1388" s="28" t="s">
        <v>926</v>
      </c>
      <c r="N1388" s="28" t="s">
        <v>1248</v>
      </c>
    </row>
    <row r="1389" spans="8:17" x14ac:dyDescent="0.25">
      <c r="J1389" s="28" t="s">
        <v>1014</v>
      </c>
      <c r="K1389" s="28" t="s">
        <v>878</v>
      </c>
      <c r="M1389" s="28" t="s">
        <v>906</v>
      </c>
      <c r="O1389" s="28" t="s">
        <v>898</v>
      </c>
      <c r="Q1389" s="28" t="s">
        <v>1437</v>
      </c>
    </row>
    <row r="1390" spans="8:17" x14ac:dyDescent="0.25">
      <c r="H1390" s="28" t="s">
        <v>927</v>
      </c>
      <c r="K1390" s="28" t="s">
        <v>705</v>
      </c>
      <c r="M1390" s="28" t="s">
        <v>907</v>
      </c>
      <c r="N1390" s="28" t="s">
        <v>545</v>
      </c>
    </row>
    <row r="1391" spans="8:17" x14ac:dyDescent="0.25">
      <c r="H1391" s="28" t="s">
        <v>49</v>
      </c>
      <c r="J1391" s="28" t="s">
        <v>160</v>
      </c>
      <c r="K1391" s="28" t="s">
        <v>1059</v>
      </c>
      <c r="N1391" s="28" t="s">
        <v>243</v>
      </c>
      <c r="O1391" s="28" t="s">
        <v>899</v>
      </c>
      <c r="Q1391" s="28" t="s">
        <v>1437</v>
      </c>
    </row>
    <row r="1392" spans="8:17" x14ac:dyDescent="0.25">
      <c r="M1392" s="28" t="s">
        <v>243</v>
      </c>
      <c r="N1392" s="28" t="s">
        <v>422</v>
      </c>
    </row>
    <row r="1393" spans="8:17" x14ac:dyDescent="0.25">
      <c r="H1393" s="28" t="s">
        <v>49</v>
      </c>
      <c r="J1393" s="28" t="s">
        <v>160</v>
      </c>
      <c r="K1393" s="28" t="s">
        <v>914</v>
      </c>
      <c r="O1393" s="28" t="s">
        <v>900</v>
      </c>
      <c r="Q1393" s="28" t="s">
        <v>1006</v>
      </c>
    </row>
    <row r="1394" spans="8:17" x14ac:dyDescent="0.25">
      <c r="M1394" s="28" t="s">
        <v>908</v>
      </c>
      <c r="N1394" s="28" t="s">
        <v>243</v>
      </c>
      <c r="Q1394" s="28" t="s">
        <v>1462</v>
      </c>
    </row>
    <row r="1395" spans="8:17" x14ac:dyDescent="0.25">
      <c r="H1395" s="28" t="s">
        <v>433</v>
      </c>
      <c r="J1395" s="28" t="s">
        <v>243</v>
      </c>
      <c r="K1395" s="28" t="s">
        <v>880</v>
      </c>
      <c r="N1395" s="28" t="s">
        <v>212</v>
      </c>
      <c r="O1395" s="28" t="s">
        <v>901</v>
      </c>
    </row>
    <row r="1396" spans="8:17" x14ac:dyDescent="0.25">
      <c r="K1396" s="28" t="s">
        <v>881</v>
      </c>
      <c r="M1396" s="28" t="s">
        <v>365</v>
      </c>
      <c r="N1396" s="28" t="s">
        <v>160</v>
      </c>
      <c r="Q1396" s="28" t="s">
        <v>243</v>
      </c>
    </row>
    <row r="1397" spans="8:17" x14ac:dyDescent="0.25">
      <c r="H1397" s="28" t="s">
        <v>285</v>
      </c>
      <c r="J1397" s="28" t="s">
        <v>929</v>
      </c>
      <c r="K1397" s="28" t="s">
        <v>882</v>
      </c>
      <c r="N1397" s="28" t="s">
        <v>212</v>
      </c>
      <c r="O1397" s="28" t="s">
        <v>902</v>
      </c>
      <c r="Q1397" s="28" t="s">
        <v>244</v>
      </c>
    </row>
    <row r="1398" spans="8:17" x14ac:dyDescent="0.25">
      <c r="J1398" s="28" t="s">
        <v>930</v>
      </c>
      <c r="Q1398" s="28" t="s">
        <v>244</v>
      </c>
    </row>
    <row r="1399" spans="8:17" x14ac:dyDescent="0.25">
      <c r="H1399" s="28" t="s">
        <v>285</v>
      </c>
      <c r="K1399" s="28" t="s">
        <v>883</v>
      </c>
      <c r="N1399" s="28" t="s">
        <v>243</v>
      </c>
      <c r="O1399" s="28" t="s">
        <v>903</v>
      </c>
    </row>
    <row r="1400" spans="8:17" x14ac:dyDescent="0.25">
      <c r="J1400" s="28" t="s">
        <v>243</v>
      </c>
      <c r="N1400" s="28" t="s">
        <v>285</v>
      </c>
      <c r="Q1400" s="28" t="s">
        <v>244</v>
      </c>
    </row>
    <row r="1401" spans="8:17" x14ac:dyDescent="0.25">
      <c r="H1401" s="28" t="s">
        <v>419</v>
      </c>
      <c r="K1401" s="28" t="s">
        <v>884</v>
      </c>
      <c r="N1401" s="28" t="s">
        <v>420</v>
      </c>
      <c r="O1401" s="28" t="s">
        <v>1321</v>
      </c>
      <c r="Q1401" s="28" t="s">
        <v>160</v>
      </c>
    </row>
    <row r="1402" spans="8:17" x14ac:dyDescent="0.25">
      <c r="H1402" s="28" t="s">
        <v>545</v>
      </c>
      <c r="J1402" s="28" t="s">
        <v>433</v>
      </c>
    </row>
    <row r="1403" spans="8:17" x14ac:dyDescent="0.25">
      <c r="K1403" s="28" t="s">
        <v>885</v>
      </c>
      <c r="N1403" s="28" t="s">
        <v>1248</v>
      </c>
      <c r="O1403" s="28" t="s">
        <v>77</v>
      </c>
      <c r="Q1403" s="28" t="s">
        <v>160</v>
      </c>
    </row>
    <row r="1404" spans="8:17" x14ac:dyDescent="0.25">
      <c r="H1404" s="28" t="s">
        <v>918</v>
      </c>
      <c r="J1404" s="28" t="s">
        <v>244</v>
      </c>
    </row>
    <row r="1405" spans="8:17" x14ac:dyDescent="0.25">
      <c r="H1405" s="28" t="s">
        <v>677</v>
      </c>
      <c r="K1405" s="28" t="s">
        <v>687</v>
      </c>
      <c r="N1405" s="28" t="s">
        <v>243</v>
      </c>
      <c r="O1405" s="28" t="s">
        <v>972</v>
      </c>
      <c r="Q1405" s="28" t="s">
        <v>243</v>
      </c>
    </row>
    <row r="1406" spans="8:17" x14ac:dyDescent="0.25">
      <c r="J1406" s="28" t="s">
        <v>285</v>
      </c>
      <c r="K1406" s="28" t="s">
        <v>711</v>
      </c>
      <c r="N1406" s="28" t="s">
        <v>545</v>
      </c>
      <c r="Q1406" s="28" t="s">
        <v>212</v>
      </c>
    </row>
    <row r="1407" spans="8:17" x14ac:dyDescent="0.25">
      <c r="H1407" s="28" t="s">
        <v>928</v>
      </c>
      <c r="N1407" s="28" t="s">
        <v>160</v>
      </c>
      <c r="O1407" s="28" t="s">
        <v>905</v>
      </c>
    </row>
    <row r="1408" spans="8:17" x14ac:dyDescent="0.25">
      <c r="J1408" s="28" t="s">
        <v>916</v>
      </c>
      <c r="K1408" s="28" t="s">
        <v>886</v>
      </c>
      <c r="O1408" s="28" t="s">
        <v>1293</v>
      </c>
      <c r="Q1408" s="28" t="s">
        <v>419</v>
      </c>
    </row>
    <row r="1409" spans="8:17" x14ac:dyDescent="0.25">
      <c r="H1409" s="28" t="s">
        <v>212</v>
      </c>
      <c r="N1409" s="28" t="s">
        <v>1247</v>
      </c>
      <c r="Q1409" s="28" t="s">
        <v>212</v>
      </c>
    </row>
    <row r="1410" spans="8:17" x14ac:dyDescent="0.25">
      <c r="J1410" s="28" t="s">
        <v>419</v>
      </c>
      <c r="K1410" s="28" t="s">
        <v>205</v>
      </c>
      <c r="O1410" s="28" t="s">
        <v>326</v>
      </c>
    </row>
    <row r="1411" spans="8:17" x14ac:dyDescent="0.25">
      <c r="H1411" s="28" t="s">
        <v>683</v>
      </c>
      <c r="J1411" s="28" t="s">
        <v>545</v>
      </c>
      <c r="N1411" s="28" t="s">
        <v>424</v>
      </c>
      <c r="O1411" s="28" t="s">
        <v>899</v>
      </c>
      <c r="Q1411" s="28" t="s">
        <v>1267</v>
      </c>
    </row>
    <row r="1412" spans="8:17" x14ac:dyDescent="0.25">
      <c r="K1412" s="28" t="s">
        <v>887</v>
      </c>
      <c r="Q1412" s="28" t="s">
        <v>212</v>
      </c>
    </row>
    <row r="1413" spans="8:17" x14ac:dyDescent="0.25">
      <c r="H1413" s="28" t="s">
        <v>419</v>
      </c>
      <c r="J1413" s="28" t="s">
        <v>919</v>
      </c>
      <c r="K1413" s="28" t="s">
        <v>888</v>
      </c>
      <c r="N1413" s="28" t="s">
        <v>243</v>
      </c>
      <c r="O1413" s="28" t="s">
        <v>82</v>
      </c>
    </row>
    <row r="1414" spans="8:17" x14ac:dyDescent="0.25">
      <c r="H1414" s="28" t="s">
        <v>545</v>
      </c>
      <c r="J1414" s="28" t="s">
        <v>677</v>
      </c>
      <c r="K1414" s="28" t="s">
        <v>1079</v>
      </c>
      <c r="N1414" s="28" t="s">
        <v>422</v>
      </c>
      <c r="Q1414" s="28" t="s">
        <v>419</v>
      </c>
    </row>
    <row r="1415" spans="8:17" x14ac:dyDescent="0.25">
      <c r="J1415" s="28" t="s">
        <v>423</v>
      </c>
      <c r="N1415" s="28" t="s">
        <v>160</v>
      </c>
      <c r="O1415" s="28" t="s">
        <v>906</v>
      </c>
    </row>
    <row r="1416" spans="8:17" x14ac:dyDescent="0.25">
      <c r="H1416" s="28" t="s">
        <v>424</v>
      </c>
      <c r="K1416" s="28" t="s">
        <v>889</v>
      </c>
      <c r="N1416" s="28" t="s">
        <v>160</v>
      </c>
      <c r="O1416" s="28" t="s">
        <v>907</v>
      </c>
      <c r="Q1416" s="28" t="s">
        <v>160</v>
      </c>
    </row>
    <row r="1417" spans="8:17" x14ac:dyDescent="0.25">
      <c r="J1417" s="28" t="s">
        <v>920</v>
      </c>
      <c r="K1417" s="28" t="s">
        <v>1079</v>
      </c>
    </row>
    <row r="1418" spans="8:17" x14ac:dyDescent="0.25">
      <c r="H1418" s="28" t="s">
        <v>929</v>
      </c>
      <c r="N1418" s="28" t="s">
        <v>1179</v>
      </c>
      <c r="O1418" s="28" t="s">
        <v>243</v>
      </c>
      <c r="Q1418" s="28" t="s">
        <v>435</v>
      </c>
    </row>
    <row r="1419" spans="8:17" x14ac:dyDescent="0.25">
      <c r="H1419" s="28" t="s">
        <v>930</v>
      </c>
      <c r="J1419" s="28" t="s">
        <v>212</v>
      </c>
      <c r="K1419" s="28" t="s">
        <v>1077</v>
      </c>
    </row>
    <row r="1420" spans="8:17" x14ac:dyDescent="0.25">
      <c r="H1420" s="28" t="s">
        <v>931</v>
      </c>
      <c r="N1420" s="28" t="s">
        <v>419</v>
      </c>
      <c r="O1420" s="28" t="s">
        <v>908</v>
      </c>
      <c r="Q1420" s="28" t="s">
        <v>990</v>
      </c>
    </row>
    <row r="1421" spans="8:17" x14ac:dyDescent="0.25">
      <c r="J1421" s="28" t="s">
        <v>424</v>
      </c>
      <c r="K1421" s="28" t="s">
        <v>160</v>
      </c>
      <c r="N1421" s="28" t="s">
        <v>545</v>
      </c>
    </row>
    <row r="1422" spans="8:17" x14ac:dyDescent="0.25">
      <c r="H1422" s="28" t="s">
        <v>160</v>
      </c>
      <c r="N1422" s="28" t="s">
        <v>212</v>
      </c>
      <c r="O1422" s="28" t="s">
        <v>809</v>
      </c>
      <c r="Q1422" s="28" t="s">
        <v>1463</v>
      </c>
    </row>
    <row r="1423" spans="8:17" x14ac:dyDescent="0.25">
      <c r="J1423" s="28" t="s">
        <v>1041</v>
      </c>
      <c r="K1423" s="28" t="s">
        <v>954</v>
      </c>
      <c r="O1423" s="28" t="s">
        <v>810</v>
      </c>
    </row>
    <row r="1424" spans="8:17" x14ac:dyDescent="0.25">
      <c r="H1424" s="28" t="s">
        <v>424</v>
      </c>
      <c r="N1424" s="28" t="s">
        <v>420</v>
      </c>
      <c r="O1424" s="28" t="s">
        <v>811</v>
      </c>
      <c r="Q1424" s="28" t="s">
        <v>676</v>
      </c>
    </row>
    <row r="1425" spans="8:17" x14ac:dyDescent="0.25">
      <c r="J1425" s="28" t="s">
        <v>545</v>
      </c>
      <c r="K1425" s="28" t="s">
        <v>1077</v>
      </c>
      <c r="N1425" s="28" t="s">
        <v>419</v>
      </c>
      <c r="O1425" s="28" t="s">
        <v>812</v>
      </c>
      <c r="Q1425" s="28" t="s">
        <v>241</v>
      </c>
    </row>
    <row r="1426" spans="8:17" x14ac:dyDescent="0.25">
      <c r="H1426" s="28" t="s">
        <v>426</v>
      </c>
      <c r="N1426" s="28" t="s">
        <v>285</v>
      </c>
      <c r="O1426" s="28" t="s">
        <v>809</v>
      </c>
    </row>
    <row r="1427" spans="8:17" x14ac:dyDescent="0.25">
      <c r="H1427" s="28" t="s">
        <v>930</v>
      </c>
      <c r="J1427" s="28" t="s">
        <v>424</v>
      </c>
      <c r="K1427" s="28" t="s">
        <v>916</v>
      </c>
      <c r="O1427" s="28" t="s">
        <v>813</v>
      </c>
      <c r="Q1427" s="28" t="s">
        <v>243</v>
      </c>
    </row>
    <row r="1428" spans="8:17" x14ac:dyDescent="0.25">
      <c r="H1428" s="28" t="s">
        <v>433</v>
      </c>
      <c r="N1428" s="28" t="s">
        <v>1249</v>
      </c>
      <c r="O1428" s="28" t="s">
        <v>811</v>
      </c>
    </row>
    <row r="1429" spans="8:17" x14ac:dyDescent="0.25">
      <c r="J1429" s="28" t="s">
        <v>423</v>
      </c>
      <c r="K1429" s="28" t="s">
        <v>916</v>
      </c>
      <c r="O1429" s="28" t="s">
        <v>814</v>
      </c>
      <c r="Q1429" s="28" t="s">
        <v>1464</v>
      </c>
    </row>
    <row r="1430" spans="8:17" x14ac:dyDescent="0.25">
      <c r="H1430" s="28" t="s">
        <v>212</v>
      </c>
      <c r="N1430" s="28" t="s">
        <v>809</v>
      </c>
      <c r="O1430" s="28" t="s">
        <v>815</v>
      </c>
    </row>
    <row r="1431" spans="8:17" x14ac:dyDescent="0.25">
      <c r="J1431" s="28" t="s">
        <v>426</v>
      </c>
      <c r="K1431" s="28" t="s">
        <v>419</v>
      </c>
      <c r="N1431" s="28" t="s">
        <v>810</v>
      </c>
      <c r="O1431" s="28" t="s">
        <v>809</v>
      </c>
      <c r="Q1431" s="28" t="s">
        <v>284</v>
      </c>
    </row>
    <row r="1432" spans="8:17" x14ac:dyDescent="0.25">
      <c r="H1432" s="28" t="s">
        <v>285</v>
      </c>
      <c r="J1432" s="28" t="s">
        <v>930</v>
      </c>
      <c r="K1432" s="28" t="s">
        <v>545</v>
      </c>
      <c r="N1432" s="28" t="s">
        <v>811</v>
      </c>
      <c r="O1432" s="28" t="s">
        <v>816</v>
      </c>
    </row>
    <row r="1433" spans="8:17" x14ac:dyDescent="0.25">
      <c r="J1433" s="28" t="s">
        <v>1047</v>
      </c>
      <c r="N1433" s="28" t="s">
        <v>812</v>
      </c>
      <c r="Q1433" s="28" t="s">
        <v>245</v>
      </c>
    </row>
    <row r="1434" spans="8:17" x14ac:dyDescent="0.25">
      <c r="H1434" s="28" t="s">
        <v>243</v>
      </c>
      <c r="K1434" s="28" t="s">
        <v>891</v>
      </c>
      <c r="N1434" s="28" t="s">
        <v>809</v>
      </c>
      <c r="O1434" s="28" t="s">
        <v>909</v>
      </c>
      <c r="Q1434" s="28" t="s">
        <v>246</v>
      </c>
    </row>
    <row r="1435" spans="8:17" x14ac:dyDescent="0.25">
      <c r="J1435" s="28" t="s">
        <v>160</v>
      </c>
      <c r="K1435" s="28" t="s">
        <v>892</v>
      </c>
      <c r="N1435" s="28" t="s">
        <v>813</v>
      </c>
      <c r="O1435" s="28" t="s">
        <v>910</v>
      </c>
      <c r="Q1435" s="28" t="s">
        <v>247</v>
      </c>
    </row>
    <row r="1436" spans="8:17" x14ac:dyDescent="0.25">
      <c r="H1436" s="28" t="s">
        <v>243</v>
      </c>
      <c r="N1436" s="28" t="s">
        <v>811</v>
      </c>
      <c r="Q1436" s="28" t="s">
        <v>248</v>
      </c>
    </row>
    <row r="1437" spans="8:17" x14ac:dyDescent="0.25">
      <c r="J1437" s="28" t="s">
        <v>424</v>
      </c>
      <c r="K1437" s="28" t="s">
        <v>779</v>
      </c>
      <c r="N1437" s="28" t="s">
        <v>814</v>
      </c>
      <c r="O1437" s="28" t="s">
        <v>810</v>
      </c>
      <c r="Q1437" s="28" t="s">
        <v>245</v>
      </c>
    </row>
    <row r="1438" spans="8:17" x14ac:dyDescent="0.25">
      <c r="H1438" s="28" t="s">
        <v>160</v>
      </c>
      <c r="K1438" s="28" t="s">
        <v>778</v>
      </c>
      <c r="N1438" s="28" t="s">
        <v>815</v>
      </c>
      <c r="Q1438" s="28" t="s">
        <v>249</v>
      </c>
    </row>
    <row r="1439" spans="8:17" x14ac:dyDescent="0.25">
      <c r="J1439" s="28" t="s">
        <v>891</v>
      </c>
      <c r="N1439" s="28" t="s">
        <v>809</v>
      </c>
      <c r="O1439" s="28" t="s">
        <v>811</v>
      </c>
      <c r="Q1439" s="28" t="s">
        <v>247</v>
      </c>
    </row>
    <row r="1440" spans="8:17" x14ac:dyDescent="0.25">
      <c r="H1440" s="28" t="s">
        <v>502</v>
      </c>
      <c r="J1440" s="28" t="s">
        <v>892</v>
      </c>
      <c r="K1440" s="28" t="s">
        <v>1111</v>
      </c>
      <c r="N1440" s="28" t="s">
        <v>816</v>
      </c>
      <c r="O1440" s="28" t="s">
        <v>820</v>
      </c>
      <c r="Q1440" s="28" t="s">
        <v>250</v>
      </c>
    </row>
    <row r="1441" spans="8:17" x14ac:dyDescent="0.25">
      <c r="O1441" s="28" t="s">
        <v>821</v>
      </c>
      <c r="Q1441" s="28" t="s">
        <v>251</v>
      </c>
    </row>
    <row r="1442" spans="8:17" x14ac:dyDescent="0.25">
      <c r="H1442" s="28" t="s">
        <v>916</v>
      </c>
      <c r="J1442" s="28" t="s">
        <v>779</v>
      </c>
      <c r="K1442" s="28" t="s">
        <v>785</v>
      </c>
      <c r="N1442" s="28" t="s">
        <v>909</v>
      </c>
      <c r="Q1442" s="28" t="s">
        <v>245</v>
      </c>
    </row>
    <row r="1443" spans="8:17" x14ac:dyDescent="0.25">
      <c r="J1443" s="28" t="s">
        <v>778</v>
      </c>
      <c r="N1443" s="28" t="s">
        <v>910</v>
      </c>
      <c r="O1443" s="28" t="s">
        <v>811</v>
      </c>
      <c r="Q1443" s="28" t="s">
        <v>252</v>
      </c>
    </row>
    <row r="1444" spans="8:17" x14ac:dyDescent="0.25">
      <c r="H1444" s="28" t="s">
        <v>916</v>
      </c>
      <c r="K1444" s="28" t="s">
        <v>894</v>
      </c>
      <c r="O1444" s="28" t="s">
        <v>822</v>
      </c>
    </row>
    <row r="1445" spans="8:17" x14ac:dyDescent="0.25">
      <c r="J1445" s="28" t="s">
        <v>1048</v>
      </c>
      <c r="N1445" s="28" t="s">
        <v>810</v>
      </c>
      <c r="O1445" s="28" t="s">
        <v>811</v>
      </c>
      <c r="Q1445" s="28" t="s">
        <v>253</v>
      </c>
    </row>
    <row r="1446" spans="8:17" x14ac:dyDescent="0.25">
      <c r="H1446" s="28" t="s">
        <v>809</v>
      </c>
      <c r="K1446" s="28" t="s">
        <v>895</v>
      </c>
    </row>
    <row r="1447" spans="8:17" x14ac:dyDescent="0.25">
      <c r="H1447" s="28" t="s">
        <v>810</v>
      </c>
      <c r="J1447" s="28" t="s">
        <v>785</v>
      </c>
      <c r="N1447" s="28" t="s">
        <v>811</v>
      </c>
      <c r="O1447" s="28" t="s">
        <v>911</v>
      </c>
      <c r="Q1447" s="28" t="s">
        <v>254</v>
      </c>
    </row>
    <row r="1448" spans="8:17" x14ac:dyDescent="0.25">
      <c r="H1448" s="28" t="s">
        <v>811</v>
      </c>
      <c r="K1448" s="28" t="s">
        <v>896</v>
      </c>
      <c r="N1448" s="28" t="s">
        <v>820</v>
      </c>
      <c r="Q1448" s="28" t="s">
        <v>255</v>
      </c>
    </row>
    <row r="1449" spans="8:17" x14ac:dyDescent="0.25">
      <c r="H1449" s="28" t="s">
        <v>812</v>
      </c>
      <c r="J1449" s="28" t="s">
        <v>894</v>
      </c>
      <c r="N1449" s="28" t="s">
        <v>821</v>
      </c>
      <c r="O1449" s="28" t="s">
        <v>823</v>
      </c>
      <c r="Q1449" s="28" t="s">
        <v>248</v>
      </c>
    </row>
    <row r="1450" spans="8:17" x14ac:dyDescent="0.25">
      <c r="H1450" s="28" t="s">
        <v>809</v>
      </c>
      <c r="K1450" s="28" t="s">
        <v>897</v>
      </c>
      <c r="O1450" s="28" t="s">
        <v>809</v>
      </c>
      <c r="Q1450" s="28" t="s">
        <v>246</v>
      </c>
    </row>
    <row r="1451" spans="8:17" x14ac:dyDescent="0.25">
      <c r="H1451" s="28" t="s">
        <v>813</v>
      </c>
      <c r="J1451" s="28" t="s">
        <v>895</v>
      </c>
      <c r="N1451" s="28" t="s">
        <v>811</v>
      </c>
      <c r="O1451" s="28" t="s">
        <v>826</v>
      </c>
      <c r="Q1451" s="28" t="s">
        <v>256</v>
      </c>
    </row>
    <row r="1452" spans="8:17" x14ac:dyDescent="0.25">
      <c r="H1452" s="28" t="s">
        <v>811</v>
      </c>
      <c r="K1452" s="28" t="s">
        <v>898</v>
      </c>
      <c r="N1452" s="28" t="s">
        <v>822</v>
      </c>
    </row>
    <row r="1453" spans="8:17" x14ac:dyDescent="0.25">
      <c r="H1453" s="28" t="s">
        <v>814</v>
      </c>
      <c r="J1453" s="28" t="s">
        <v>896</v>
      </c>
      <c r="N1453" s="28" t="s">
        <v>811</v>
      </c>
      <c r="O1453" s="28" t="s">
        <v>827</v>
      </c>
      <c r="Q1453" s="28" t="s">
        <v>254</v>
      </c>
    </row>
    <row r="1454" spans="8:17" x14ac:dyDescent="0.25">
      <c r="H1454" s="28" t="s">
        <v>815</v>
      </c>
      <c r="K1454" s="28" t="s">
        <v>899</v>
      </c>
      <c r="O1454" s="28" t="s">
        <v>823</v>
      </c>
      <c r="Q1454" s="28" t="s">
        <v>255</v>
      </c>
    </row>
    <row r="1455" spans="8:17" x14ac:dyDescent="0.25">
      <c r="H1455" s="28" t="s">
        <v>809</v>
      </c>
      <c r="J1455" s="28" t="s">
        <v>897</v>
      </c>
      <c r="N1455" s="28" t="s">
        <v>911</v>
      </c>
      <c r="O1455" s="28" t="s">
        <v>809</v>
      </c>
    </row>
    <row r="1456" spans="8:17" x14ac:dyDescent="0.25">
      <c r="H1456" s="28" t="s">
        <v>816</v>
      </c>
      <c r="K1456" s="28" t="s">
        <v>900</v>
      </c>
      <c r="Q1456" s="28" t="s">
        <v>257</v>
      </c>
    </row>
    <row r="1457" spans="8:17" x14ac:dyDescent="0.25">
      <c r="J1457" s="28" t="s">
        <v>898</v>
      </c>
      <c r="N1457" s="28" t="s">
        <v>823</v>
      </c>
      <c r="O1457" s="28" t="s">
        <v>912</v>
      </c>
      <c r="Q1457" s="28" t="s">
        <v>247</v>
      </c>
    </row>
    <row r="1458" spans="8:17" x14ac:dyDescent="0.25">
      <c r="H1458" s="28" t="s">
        <v>909</v>
      </c>
      <c r="K1458" s="28" t="s">
        <v>901</v>
      </c>
      <c r="N1458" s="28" t="s">
        <v>809</v>
      </c>
      <c r="Q1458" s="28" t="s">
        <v>258</v>
      </c>
    </row>
    <row r="1459" spans="8:17" x14ac:dyDescent="0.25">
      <c r="H1459" s="28" t="s">
        <v>910</v>
      </c>
      <c r="J1459" s="28" t="s">
        <v>899</v>
      </c>
      <c r="N1459" s="28" t="s">
        <v>826</v>
      </c>
      <c r="O1459" s="28" t="s">
        <v>810</v>
      </c>
      <c r="Q1459" s="28" t="s">
        <v>259</v>
      </c>
    </row>
    <row r="1460" spans="8:17" x14ac:dyDescent="0.25">
      <c r="K1460" s="28" t="s">
        <v>902</v>
      </c>
      <c r="O1460" s="28" t="s">
        <v>818</v>
      </c>
    </row>
    <row r="1461" spans="8:17" x14ac:dyDescent="0.25">
      <c r="H1461" s="28" t="s">
        <v>810</v>
      </c>
      <c r="J1461" s="28" t="s">
        <v>900</v>
      </c>
      <c r="N1461" s="28" t="s">
        <v>827</v>
      </c>
      <c r="Q1461" s="28" t="s">
        <v>247</v>
      </c>
    </row>
    <row r="1462" spans="8:17" x14ac:dyDescent="0.25">
      <c r="K1462" s="28" t="s">
        <v>903</v>
      </c>
      <c r="N1462" s="28" t="s">
        <v>823</v>
      </c>
      <c r="O1462" s="28" t="s">
        <v>265</v>
      </c>
      <c r="Q1462" s="28" t="s">
        <v>260</v>
      </c>
    </row>
    <row r="1463" spans="8:17" x14ac:dyDescent="0.25">
      <c r="H1463" s="28" t="s">
        <v>811</v>
      </c>
      <c r="J1463" s="28" t="s">
        <v>901</v>
      </c>
      <c r="N1463" s="28" t="s">
        <v>809</v>
      </c>
      <c r="O1463" s="28" t="s">
        <v>266</v>
      </c>
      <c r="Q1463" s="28" t="s">
        <v>247</v>
      </c>
    </row>
    <row r="1464" spans="8:17" x14ac:dyDescent="0.25">
      <c r="H1464" s="28" t="s">
        <v>820</v>
      </c>
      <c r="K1464" s="28" t="s">
        <v>1108</v>
      </c>
      <c r="O1464" s="28" t="s">
        <v>267</v>
      </c>
      <c r="Q1464" s="28" t="s">
        <v>261</v>
      </c>
    </row>
    <row r="1465" spans="8:17" x14ac:dyDescent="0.25">
      <c r="H1465" s="28" t="s">
        <v>821</v>
      </c>
      <c r="J1465" s="28" t="s">
        <v>902</v>
      </c>
      <c r="N1465" s="28" t="s">
        <v>912</v>
      </c>
      <c r="O1465" s="28" t="s">
        <v>268</v>
      </c>
      <c r="Q1465" s="28" t="s">
        <v>254</v>
      </c>
    </row>
    <row r="1466" spans="8:17" x14ac:dyDescent="0.25">
      <c r="K1466" s="28" t="s">
        <v>77</v>
      </c>
    </row>
    <row r="1467" spans="8:17" x14ac:dyDescent="0.25">
      <c r="H1467" s="28" t="s">
        <v>811</v>
      </c>
      <c r="J1467" s="28" t="s">
        <v>903</v>
      </c>
      <c r="N1467" s="28" t="s">
        <v>810</v>
      </c>
      <c r="O1467" s="28" t="s">
        <v>269</v>
      </c>
      <c r="Q1467" s="28" t="s">
        <v>262</v>
      </c>
    </row>
    <row r="1468" spans="8:17" x14ac:dyDescent="0.25">
      <c r="H1468" s="28" t="s">
        <v>822</v>
      </c>
      <c r="K1468" s="28" t="s">
        <v>972</v>
      </c>
      <c r="N1468" s="28" t="s">
        <v>818</v>
      </c>
      <c r="O1468" s="28" t="s">
        <v>270</v>
      </c>
    </row>
    <row r="1469" spans="8:17" x14ac:dyDescent="0.25">
      <c r="H1469" s="28" t="s">
        <v>811</v>
      </c>
      <c r="J1469" s="28" t="s">
        <v>77</v>
      </c>
      <c r="O1469" s="28" t="s">
        <v>268</v>
      </c>
      <c r="Q1469" s="28" t="s">
        <v>254</v>
      </c>
    </row>
    <row r="1470" spans="8:17" x14ac:dyDescent="0.25">
      <c r="K1470" s="28" t="s">
        <v>905</v>
      </c>
      <c r="N1470" s="28" t="s">
        <v>265</v>
      </c>
      <c r="O1470" s="28" t="s">
        <v>267</v>
      </c>
      <c r="Q1470" s="28" t="s">
        <v>255</v>
      </c>
    </row>
    <row r="1471" spans="8:17" x14ac:dyDescent="0.25">
      <c r="H1471" s="28" t="s">
        <v>911</v>
      </c>
      <c r="J1471" s="28" t="s">
        <v>904</v>
      </c>
      <c r="K1471" s="28" t="s">
        <v>1084</v>
      </c>
      <c r="N1471" s="28" t="s">
        <v>266</v>
      </c>
      <c r="O1471" s="28" t="s">
        <v>269</v>
      </c>
      <c r="Q1471" s="28" t="s">
        <v>263</v>
      </c>
    </row>
    <row r="1472" spans="8:17" x14ac:dyDescent="0.25">
      <c r="N1472" s="28" t="s">
        <v>267</v>
      </c>
      <c r="O1472" s="28" t="s">
        <v>265</v>
      </c>
      <c r="Q1472" s="28" t="s">
        <v>261</v>
      </c>
    </row>
    <row r="1473" spans="8:17" x14ac:dyDescent="0.25">
      <c r="H1473" s="28" t="s">
        <v>823</v>
      </c>
      <c r="J1473" s="28" t="s">
        <v>780</v>
      </c>
      <c r="K1473" s="28" t="s">
        <v>326</v>
      </c>
      <c r="N1473" s="28" t="s">
        <v>268</v>
      </c>
      <c r="O1473" s="28" t="s">
        <v>254</v>
      </c>
      <c r="Q1473" s="28" t="s">
        <v>245</v>
      </c>
    </row>
    <row r="1474" spans="8:17" x14ac:dyDescent="0.25">
      <c r="H1474" s="28" t="s">
        <v>809</v>
      </c>
      <c r="K1474" s="28" t="s">
        <v>899</v>
      </c>
      <c r="Q1474" s="28" t="s">
        <v>264</v>
      </c>
    </row>
    <row r="1475" spans="8:17" x14ac:dyDescent="0.25">
      <c r="H1475" s="28" t="s">
        <v>826</v>
      </c>
      <c r="J1475" s="28" t="s">
        <v>905</v>
      </c>
      <c r="N1475" s="28" t="s">
        <v>269</v>
      </c>
      <c r="O1475" s="28" t="s">
        <v>271</v>
      </c>
    </row>
    <row r="1476" spans="8:17" x14ac:dyDescent="0.25">
      <c r="J1476" s="28" t="s">
        <v>1017</v>
      </c>
      <c r="K1476" s="28" t="s">
        <v>82</v>
      </c>
      <c r="N1476" s="28" t="s">
        <v>270</v>
      </c>
      <c r="Q1476" s="28" t="s">
        <v>255</v>
      </c>
    </row>
    <row r="1477" spans="8:17" x14ac:dyDescent="0.25">
      <c r="H1477" s="28" t="s">
        <v>827</v>
      </c>
      <c r="N1477" s="28" t="s">
        <v>268</v>
      </c>
      <c r="O1477" s="28" t="s">
        <v>273</v>
      </c>
    </row>
    <row r="1478" spans="8:17" x14ac:dyDescent="0.25">
      <c r="H1478" s="28" t="s">
        <v>823</v>
      </c>
      <c r="J1478" s="28" t="s">
        <v>326</v>
      </c>
      <c r="K1478" s="28" t="s">
        <v>906</v>
      </c>
      <c r="N1478" s="28" t="s">
        <v>267</v>
      </c>
      <c r="O1478" s="28" t="s">
        <v>274</v>
      </c>
      <c r="Q1478" s="28" t="s">
        <v>250</v>
      </c>
    </row>
    <row r="1479" spans="8:17" x14ac:dyDescent="0.25">
      <c r="H1479" s="28" t="s">
        <v>809</v>
      </c>
      <c r="J1479" s="28" t="s">
        <v>899</v>
      </c>
      <c r="K1479" s="28" t="s">
        <v>907</v>
      </c>
      <c r="N1479" s="28" t="s">
        <v>269</v>
      </c>
      <c r="O1479" s="28" t="s">
        <v>266</v>
      </c>
      <c r="Q1479" s="28" t="s">
        <v>261</v>
      </c>
    </row>
    <row r="1480" spans="8:17" x14ac:dyDescent="0.25">
      <c r="N1480" s="28" t="s">
        <v>265</v>
      </c>
      <c r="O1480" s="28" t="s">
        <v>275</v>
      </c>
      <c r="Q1480" s="28" t="s">
        <v>245</v>
      </c>
    </row>
    <row r="1481" spans="8:17" x14ac:dyDescent="0.25">
      <c r="H1481" s="28" t="s">
        <v>912</v>
      </c>
      <c r="J1481" s="28" t="s">
        <v>73</v>
      </c>
      <c r="K1481" s="28" t="s">
        <v>243</v>
      </c>
      <c r="N1481" s="28" t="s">
        <v>254</v>
      </c>
      <c r="Q1481" s="28" t="s">
        <v>263</v>
      </c>
    </row>
    <row r="1482" spans="8:17" x14ac:dyDescent="0.25">
      <c r="O1482" s="28" t="s">
        <v>878</v>
      </c>
      <c r="Q1482" s="28" t="s">
        <v>254</v>
      </c>
    </row>
    <row r="1483" spans="8:17" x14ac:dyDescent="0.25">
      <c r="H1483" s="28" t="s">
        <v>810</v>
      </c>
      <c r="J1483" s="28" t="s">
        <v>906</v>
      </c>
      <c r="K1483" s="28" t="s">
        <v>908</v>
      </c>
      <c r="N1483" s="28" t="s">
        <v>271</v>
      </c>
      <c r="O1483" s="28" t="s">
        <v>705</v>
      </c>
      <c r="Q1483" s="28" t="s">
        <v>253</v>
      </c>
    </row>
    <row r="1484" spans="8:17" x14ac:dyDescent="0.25">
      <c r="H1484" s="28" t="s">
        <v>818</v>
      </c>
      <c r="J1484" s="28" t="s">
        <v>907</v>
      </c>
      <c r="O1484" s="28" t="s">
        <v>1282</v>
      </c>
    </row>
    <row r="1485" spans="8:17" x14ac:dyDescent="0.25">
      <c r="K1485" s="28" t="s">
        <v>918</v>
      </c>
      <c r="N1485" s="28" t="s">
        <v>273</v>
      </c>
      <c r="Q1485" s="28" t="s">
        <v>254</v>
      </c>
    </row>
    <row r="1486" spans="8:17" x14ac:dyDescent="0.25">
      <c r="H1486" s="28" t="s">
        <v>265</v>
      </c>
      <c r="J1486" s="28" t="s">
        <v>285</v>
      </c>
      <c r="K1486" s="28" t="s">
        <v>1105</v>
      </c>
      <c r="N1486" s="28" t="s">
        <v>274</v>
      </c>
      <c r="O1486" s="28" t="s">
        <v>914</v>
      </c>
      <c r="Q1486" s="28" t="s">
        <v>255</v>
      </c>
    </row>
    <row r="1487" spans="8:17" x14ac:dyDescent="0.25">
      <c r="H1487" s="28" t="s">
        <v>266</v>
      </c>
      <c r="N1487" s="28" t="s">
        <v>266</v>
      </c>
      <c r="Q1487" s="28" t="s">
        <v>248</v>
      </c>
    </row>
    <row r="1488" spans="8:17" x14ac:dyDescent="0.25">
      <c r="H1488" s="28" t="s">
        <v>267</v>
      </c>
      <c r="J1488" s="28" t="s">
        <v>933</v>
      </c>
      <c r="K1488" s="28" t="s">
        <v>419</v>
      </c>
      <c r="N1488" s="28" t="s">
        <v>275</v>
      </c>
      <c r="O1488" s="28" t="s">
        <v>880</v>
      </c>
      <c r="Q1488" s="28" t="s">
        <v>246</v>
      </c>
    </row>
    <row r="1489" spans="8:17" x14ac:dyDescent="0.25">
      <c r="H1489" s="28" t="s">
        <v>268</v>
      </c>
      <c r="K1489" s="28" t="s">
        <v>545</v>
      </c>
      <c r="O1489" s="28" t="s">
        <v>881</v>
      </c>
      <c r="Q1489" s="28" t="s">
        <v>256</v>
      </c>
    </row>
    <row r="1490" spans="8:17" x14ac:dyDescent="0.25">
      <c r="J1490" s="28" t="s">
        <v>878</v>
      </c>
      <c r="N1490" s="28" t="s">
        <v>891</v>
      </c>
      <c r="O1490" s="28" t="s">
        <v>882</v>
      </c>
    </row>
    <row r="1491" spans="8:17" x14ac:dyDescent="0.25">
      <c r="H1491" s="28" t="s">
        <v>269</v>
      </c>
      <c r="J1491" s="28" t="s">
        <v>705</v>
      </c>
      <c r="K1491" s="28" t="s">
        <v>1112</v>
      </c>
      <c r="N1491" s="28" t="s">
        <v>892</v>
      </c>
      <c r="Q1491" s="28" t="s">
        <v>265</v>
      </c>
    </row>
    <row r="1492" spans="8:17" x14ac:dyDescent="0.25">
      <c r="H1492" s="28" t="s">
        <v>270</v>
      </c>
      <c r="J1492" s="28" t="s">
        <v>984</v>
      </c>
      <c r="O1492" s="28" t="s">
        <v>883</v>
      </c>
      <c r="Q1492" s="28" t="s">
        <v>266</v>
      </c>
    </row>
    <row r="1493" spans="8:17" x14ac:dyDescent="0.25">
      <c r="H1493" s="28" t="s">
        <v>268</v>
      </c>
      <c r="K1493" s="28" t="s">
        <v>1113</v>
      </c>
      <c r="N1493" s="28" t="s">
        <v>779</v>
      </c>
      <c r="Q1493" s="28" t="s">
        <v>267</v>
      </c>
    </row>
    <row r="1494" spans="8:17" x14ac:dyDescent="0.25">
      <c r="H1494" s="28" t="s">
        <v>267</v>
      </c>
      <c r="J1494" s="28" t="s">
        <v>914</v>
      </c>
      <c r="N1494" s="28" t="s">
        <v>778</v>
      </c>
      <c r="O1494" s="28" t="s">
        <v>884</v>
      </c>
      <c r="Q1494" s="28" t="s">
        <v>268</v>
      </c>
    </row>
    <row r="1495" spans="8:17" x14ac:dyDescent="0.25">
      <c r="H1495" s="28" t="s">
        <v>269</v>
      </c>
      <c r="K1495" s="28" t="s">
        <v>809</v>
      </c>
    </row>
    <row r="1496" spans="8:17" x14ac:dyDescent="0.25">
      <c r="H1496" s="28" t="s">
        <v>265</v>
      </c>
      <c r="J1496" s="28" t="s">
        <v>880</v>
      </c>
      <c r="K1496" s="28" t="s">
        <v>810</v>
      </c>
      <c r="N1496" s="28" t="s">
        <v>1250</v>
      </c>
      <c r="O1496" s="28" t="s">
        <v>885</v>
      </c>
      <c r="Q1496" s="28" t="s">
        <v>269</v>
      </c>
    </row>
    <row r="1497" spans="8:17" x14ac:dyDescent="0.25">
      <c r="H1497" s="28" t="s">
        <v>254</v>
      </c>
      <c r="J1497" s="28" t="s">
        <v>881</v>
      </c>
      <c r="K1497" s="28" t="s">
        <v>811</v>
      </c>
      <c r="Q1497" s="28" t="s">
        <v>270</v>
      </c>
    </row>
    <row r="1498" spans="8:17" x14ac:dyDescent="0.25">
      <c r="J1498" s="28" t="s">
        <v>882</v>
      </c>
      <c r="K1498" s="28" t="s">
        <v>812</v>
      </c>
      <c r="N1498" s="28" t="s">
        <v>785</v>
      </c>
      <c r="O1498" s="28" t="s">
        <v>687</v>
      </c>
      <c r="Q1498" s="28" t="s">
        <v>268</v>
      </c>
    </row>
    <row r="1499" spans="8:17" x14ac:dyDescent="0.25">
      <c r="H1499" s="28" t="s">
        <v>271</v>
      </c>
      <c r="K1499" s="28" t="s">
        <v>809</v>
      </c>
      <c r="O1499" s="28" t="s">
        <v>713</v>
      </c>
      <c r="Q1499" s="28" t="s">
        <v>267</v>
      </c>
    </row>
    <row r="1500" spans="8:17" x14ac:dyDescent="0.25">
      <c r="J1500" s="28" t="s">
        <v>883</v>
      </c>
      <c r="K1500" s="28" t="s">
        <v>813</v>
      </c>
      <c r="N1500" s="28" t="s">
        <v>894</v>
      </c>
      <c r="Q1500" s="28" t="s">
        <v>269</v>
      </c>
    </row>
    <row r="1501" spans="8:17" x14ac:dyDescent="0.25">
      <c r="H1501" s="28" t="s">
        <v>273</v>
      </c>
      <c r="K1501" s="28" t="s">
        <v>811</v>
      </c>
      <c r="O1501" s="28" t="s">
        <v>886</v>
      </c>
      <c r="Q1501" s="28" t="s">
        <v>265</v>
      </c>
    </row>
    <row r="1502" spans="8:17" x14ac:dyDescent="0.25">
      <c r="H1502" s="28" t="s">
        <v>274</v>
      </c>
      <c r="J1502" s="28" t="s">
        <v>884</v>
      </c>
      <c r="K1502" s="28" t="s">
        <v>814</v>
      </c>
      <c r="N1502" s="28" t="s">
        <v>895</v>
      </c>
      <c r="Q1502" s="28" t="s">
        <v>254</v>
      </c>
    </row>
    <row r="1503" spans="8:17" x14ac:dyDescent="0.25">
      <c r="H1503" s="28" t="s">
        <v>266</v>
      </c>
      <c r="K1503" s="28" t="s">
        <v>815</v>
      </c>
      <c r="O1503" s="28" t="s">
        <v>205</v>
      </c>
    </row>
    <row r="1504" spans="8:17" x14ac:dyDescent="0.25">
      <c r="H1504" s="28" t="s">
        <v>275</v>
      </c>
      <c r="J1504" s="28" t="s">
        <v>885</v>
      </c>
      <c r="K1504" s="28" t="s">
        <v>809</v>
      </c>
      <c r="N1504" s="28" t="s">
        <v>896</v>
      </c>
      <c r="Q1504" s="28" t="s">
        <v>271</v>
      </c>
    </row>
    <row r="1505" spans="8:17" x14ac:dyDescent="0.25">
      <c r="K1505" s="28" t="s">
        <v>816</v>
      </c>
      <c r="O1505" s="28" t="s">
        <v>887</v>
      </c>
    </row>
    <row r="1506" spans="8:17" x14ac:dyDescent="0.25">
      <c r="H1506" s="28" t="s">
        <v>891</v>
      </c>
      <c r="J1506" s="28" t="s">
        <v>687</v>
      </c>
      <c r="N1506" s="28" t="s">
        <v>897</v>
      </c>
      <c r="O1506" s="28" t="s">
        <v>888</v>
      </c>
      <c r="Q1506" s="28" t="s">
        <v>273</v>
      </c>
    </row>
    <row r="1507" spans="8:17" x14ac:dyDescent="0.25">
      <c r="H1507" s="28" t="s">
        <v>892</v>
      </c>
      <c r="J1507" s="28" t="s">
        <v>1009</v>
      </c>
      <c r="K1507" s="28" t="s">
        <v>909</v>
      </c>
      <c r="O1507" s="28" t="s">
        <v>219</v>
      </c>
      <c r="Q1507" s="28" t="s">
        <v>274</v>
      </c>
    </row>
    <row r="1508" spans="8:17" x14ac:dyDescent="0.25">
      <c r="K1508" s="28" t="s">
        <v>910</v>
      </c>
      <c r="N1508" s="28" t="s">
        <v>898</v>
      </c>
      <c r="Q1508" s="28" t="s">
        <v>266</v>
      </c>
    </row>
    <row r="1509" spans="8:17" x14ac:dyDescent="0.25">
      <c r="H1509" s="28" t="s">
        <v>779</v>
      </c>
      <c r="J1509" s="28" t="s">
        <v>886</v>
      </c>
      <c r="O1509" s="28" t="s">
        <v>889</v>
      </c>
      <c r="Q1509" s="28" t="s">
        <v>275</v>
      </c>
    </row>
    <row r="1510" spans="8:17" x14ac:dyDescent="0.25">
      <c r="H1510" s="28" t="s">
        <v>778</v>
      </c>
      <c r="K1510" s="28" t="s">
        <v>810</v>
      </c>
      <c r="N1510" s="28" t="s">
        <v>899</v>
      </c>
    </row>
    <row r="1511" spans="8:17" x14ac:dyDescent="0.25">
      <c r="J1511" s="28" t="s">
        <v>205</v>
      </c>
      <c r="O1511" s="28" t="s">
        <v>219</v>
      </c>
      <c r="Q1511" s="28" t="s">
        <v>891</v>
      </c>
    </row>
    <row r="1512" spans="8:17" x14ac:dyDescent="0.25">
      <c r="H1512" s="28" t="s">
        <v>932</v>
      </c>
      <c r="K1512" s="28" t="s">
        <v>811</v>
      </c>
      <c r="N1512" s="28" t="s">
        <v>900</v>
      </c>
      <c r="Q1512" s="28" t="s">
        <v>892</v>
      </c>
    </row>
    <row r="1513" spans="8:17" x14ac:dyDescent="0.25">
      <c r="J1513" s="28" t="s">
        <v>887</v>
      </c>
      <c r="K1513" s="28" t="s">
        <v>820</v>
      </c>
      <c r="O1513" s="28" t="s">
        <v>722</v>
      </c>
    </row>
    <row r="1514" spans="8:17" x14ac:dyDescent="0.25">
      <c r="H1514" s="28" t="s">
        <v>785</v>
      </c>
      <c r="J1514" s="28" t="s">
        <v>888</v>
      </c>
      <c r="K1514" s="28" t="s">
        <v>821</v>
      </c>
      <c r="N1514" s="28" t="s">
        <v>901</v>
      </c>
      <c r="Q1514" s="28" t="s">
        <v>779</v>
      </c>
    </row>
    <row r="1515" spans="8:17" x14ac:dyDescent="0.25">
      <c r="J1515" s="28" t="s">
        <v>219</v>
      </c>
      <c r="O1515" s="28" t="s">
        <v>160</v>
      </c>
      <c r="Q1515" s="28" t="s">
        <v>778</v>
      </c>
    </row>
    <row r="1516" spans="8:17" x14ac:dyDescent="0.25">
      <c r="H1516" s="28" t="s">
        <v>894</v>
      </c>
      <c r="K1516" s="28" t="s">
        <v>811</v>
      </c>
      <c r="N1516" s="28" t="s">
        <v>902</v>
      </c>
    </row>
    <row r="1517" spans="8:17" x14ac:dyDescent="0.25">
      <c r="J1517" s="28" t="s">
        <v>889</v>
      </c>
      <c r="K1517" s="28" t="s">
        <v>822</v>
      </c>
      <c r="O1517" s="28" t="s">
        <v>420</v>
      </c>
      <c r="Q1517" s="28" t="s">
        <v>1465</v>
      </c>
    </row>
    <row r="1518" spans="8:17" x14ac:dyDescent="0.25">
      <c r="H1518" s="28" t="s">
        <v>895</v>
      </c>
      <c r="K1518" s="28" t="s">
        <v>811</v>
      </c>
      <c r="N1518" s="28" t="s">
        <v>903</v>
      </c>
    </row>
    <row r="1519" spans="8:17" x14ac:dyDescent="0.25">
      <c r="J1519" s="28" t="s">
        <v>219</v>
      </c>
      <c r="O1519" s="28" t="s">
        <v>244</v>
      </c>
      <c r="Q1519" s="28" t="s">
        <v>77</v>
      </c>
    </row>
    <row r="1520" spans="8:17" x14ac:dyDescent="0.25">
      <c r="H1520" s="28" t="s">
        <v>896</v>
      </c>
      <c r="K1520" s="28" t="s">
        <v>911</v>
      </c>
      <c r="N1520" s="28" t="s">
        <v>1242</v>
      </c>
      <c r="O1520" s="28" t="s">
        <v>212</v>
      </c>
    </row>
    <row r="1521" spans="8:17" x14ac:dyDescent="0.25">
      <c r="J1521" s="28" t="s">
        <v>983</v>
      </c>
      <c r="Q1521" s="28" t="s">
        <v>1459</v>
      </c>
    </row>
    <row r="1522" spans="8:17" x14ac:dyDescent="0.25">
      <c r="H1522" s="28" t="s">
        <v>897</v>
      </c>
      <c r="K1522" s="28" t="s">
        <v>823</v>
      </c>
      <c r="N1522" s="28" t="s">
        <v>77</v>
      </c>
      <c r="O1522" s="28" t="s">
        <v>1105</v>
      </c>
    </row>
    <row r="1523" spans="8:17" x14ac:dyDescent="0.25">
      <c r="J1523" s="28" t="s">
        <v>160</v>
      </c>
      <c r="K1523" s="28" t="s">
        <v>809</v>
      </c>
      <c r="Q1523" s="28" t="s">
        <v>786</v>
      </c>
    </row>
    <row r="1524" spans="8:17" x14ac:dyDescent="0.25">
      <c r="H1524" s="28" t="s">
        <v>898</v>
      </c>
      <c r="K1524" s="28" t="s">
        <v>826</v>
      </c>
      <c r="N1524" s="28" t="s">
        <v>972</v>
      </c>
      <c r="O1524" s="28" t="s">
        <v>943</v>
      </c>
    </row>
    <row r="1525" spans="8:17" x14ac:dyDescent="0.25">
      <c r="J1525" s="28" t="s">
        <v>917</v>
      </c>
      <c r="Q1525" s="28" t="s">
        <v>1383</v>
      </c>
    </row>
    <row r="1526" spans="8:17" x14ac:dyDescent="0.25">
      <c r="H1526" s="28" t="s">
        <v>899</v>
      </c>
      <c r="J1526" s="28" t="s">
        <v>983</v>
      </c>
      <c r="K1526" s="28" t="s">
        <v>827</v>
      </c>
      <c r="N1526" s="28" t="s">
        <v>905</v>
      </c>
      <c r="O1526" s="28" t="s">
        <v>722</v>
      </c>
      <c r="Q1526" s="28" t="s">
        <v>1445</v>
      </c>
    </row>
    <row r="1527" spans="8:17" x14ac:dyDescent="0.25">
      <c r="K1527" s="28" t="s">
        <v>823</v>
      </c>
      <c r="N1527" s="28" t="s">
        <v>1187</v>
      </c>
    </row>
    <row r="1528" spans="8:17" x14ac:dyDescent="0.25">
      <c r="H1528" s="28" t="s">
        <v>900</v>
      </c>
      <c r="J1528" s="28" t="s">
        <v>545</v>
      </c>
      <c r="K1528" s="28" t="s">
        <v>809</v>
      </c>
      <c r="O1528" s="28" t="s">
        <v>160</v>
      </c>
      <c r="Q1528" s="28" t="s">
        <v>326</v>
      </c>
    </row>
    <row r="1529" spans="8:17" x14ac:dyDescent="0.25">
      <c r="N1529" s="28" t="s">
        <v>326</v>
      </c>
      <c r="O1529" s="28" t="s">
        <v>212</v>
      </c>
      <c r="Q1529" s="28" t="s">
        <v>327</v>
      </c>
    </row>
    <row r="1530" spans="8:17" x14ac:dyDescent="0.25">
      <c r="H1530" s="28" t="s">
        <v>901</v>
      </c>
      <c r="J1530" s="28" t="s">
        <v>243</v>
      </c>
      <c r="K1530" s="28" t="s">
        <v>912</v>
      </c>
      <c r="N1530" s="28" t="s">
        <v>899</v>
      </c>
    </row>
    <row r="1531" spans="8:17" x14ac:dyDescent="0.25">
      <c r="J1531" s="28" t="s">
        <v>212</v>
      </c>
      <c r="O1531" s="28" t="s">
        <v>244</v>
      </c>
      <c r="Q1531" s="28" t="s">
        <v>73</v>
      </c>
    </row>
    <row r="1532" spans="8:17" x14ac:dyDescent="0.25">
      <c r="H1532" s="28" t="s">
        <v>902</v>
      </c>
      <c r="K1532" s="28" t="s">
        <v>810</v>
      </c>
      <c r="N1532" s="28" t="s">
        <v>82</v>
      </c>
    </row>
    <row r="1533" spans="8:17" x14ac:dyDescent="0.25">
      <c r="J1533" s="28" t="s">
        <v>255</v>
      </c>
      <c r="K1533" s="28" t="s">
        <v>818</v>
      </c>
      <c r="O1533" s="28" t="s">
        <v>809</v>
      </c>
      <c r="Q1533" s="28" t="s">
        <v>906</v>
      </c>
    </row>
    <row r="1534" spans="8:17" x14ac:dyDescent="0.25">
      <c r="H1534" s="28" t="s">
        <v>903</v>
      </c>
      <c r="N1534" s="28" t="s">
        <v>906</v>
      </c>
      <c r="O1534" s="28" t="s">
        <v>810</v>
      </c>
      <c r="Q1534" s="28" t="s">
        <v>350</v>
      </c>
    </row>
    <row r="1535" spans="8:17" x14ac:dyDescent="0.25">
      <c r="J1535" s="28" t="s">
        <v>243</v>
      </c>
      <c r="K1535" s="28" t="s">
        <v>265</v>
      </c>
      <c r="N1535" s="28" t="s">
        <v>907</v>
      </c>
      <c r="O1535" s="28" t="s">
        <v>811</v>
      </c>
    </row>
    <row r="1536" spans="8:17" x14ac:dyDescent="0.25">
      <c r="H1536" s="28" t="s">
        <v>77</v>
      </c>
      <c r="J1536" s="28" t="s">
        <v>212</v>
      </c>
      <c r="K1536" s="28" t="s">
        <v>266</v>
      </c>
      <c r="O1536" s="28" t="s">
        <v>812</v>
      </c>
      <c r="Q1536" s="28" t="s">
        <v>243</v>
      </c>
    </row>
    <row r="1537" spans="8:17" x14ac:dyDescent="0.25">
      <c r="J1537" s="28" t="s">
        <v>212</v>
      </c>
      <c r="K1537" s="28" t="s">
        <v>267</v>
      </c>
      <c r="N1537" s="28" t="s">
        <v>285</v>
      </c>
      <c r="O1537" s="28" t="s">
        <v>809</v>
      </c>
    </row>
    <row r="1538" spans="8:17" x14ac:dyDescent="0.25">
      <c r="H1538" s="28" t="s">
        <v>904</v>
      </c>
      <c r="K1538" s="28" t="s">
        <v>268</v>
      </c>
      <c r="O1538" s="28" t="s">
        <v>813</v>
      </c>
      <c r="Q1538" s="28" t="s">
        <v>1384</v>
      </c>
    </row>
    <row r="1539" spans="8:17" x14ac:dyDescent="0.25">
      <c r="J1539" s="28" t="s">
        <v>255</v>
      </c>
      <c r="N1539" s="28" t="s">
        <v>933</v>
      </c>
      <c r="O1539" s="28" t="s">
        <v>811</v>
      </c>
    </row>
    <row r="1540" spans="8:17" x14ac:dyDescent="0.25">
      <c r="H1540" s="28" t="s">
        <v>780</v>
      </c>
      <c r="K1540" s="28" t="s">
        <v>269</v>
      </c>
      <c r="O1540" s="28" t="s">
        <v>814</v>
      </c>
      <c r="Q1540" s="28" t="s">
        <v>1385</v>
      </c>
    </row>
    <row r="1541" spans="8:17" x14ac:dyDescent="0.25">
      <c r="J1541" s="28" t="s">
        <v>243</v>
      </c>
      <c r="K1541" s="28" t="s">
        <v>270</v>
      </c>
      <c r="N1541" s="28" t="s">
        <v>1251</v>
      </c>
      <c r="O1541" s="28" t="s">
        <v>815</v>
      </c>
    </row>
    <row r="1542" spans="8:17" x14ac:dyDescent="0.25">
      <c r="H1542" s="28" t="s">
        <v>905</v>
      </c>
      <c r="J1542" s="28" t="s">
        <v>212</v>
      </c>
      <c r="K1542" s="28" t="s">
        <v>268</v>
      </c>
      <c r="O1542" s="28" t="s">
        <v>809</v>
      </c>
      <c r="Q1542" s="28" t="s">
        <v>1386</v>
      </c>
    </row>
    <row r="1543" spans="8:17" x14ac:dyDescent="0.25">
      <c r="H1543" s="28" t="s">
        <v>758</v>
      </c>
      <c r="K1543" s="28" t="s">
        <v>267</v>
      </c>
      <c r="N1543" s="28" t="s">
        <v>420</v>
      </c>
      <c r="O1543" s="28" t="s">
        <v>816</v>
      </c>
    </row>
    <row r="1544" spans="8:17" x14ac:dyDescent="0.25">
      <c r="J1544" s="28" t="s">
        <v>809</v>
      </c>
      <c r="K1544" s="28" t="s">
        <v>269</v>
      </c>
      <c r="Q1544" s="28" t="s">
        <v>1371</v>
      </c>
    </row>
    <row r="1545" spans="8:17" x14ac:dyDescent="0.25">
      <c r="H1545" s="28" t="s">
        <v>326</v>
      </c>
      <c r="J1545" s="28" t="s">
        <v>810</v>
      </c>
      <c r="K1545" s="28" t="s">
        <v>265</v>
      </c>
      <c r="N1545" s="28" t="s">
        <v>1252</v>
      </c>
      <c r="O1545" s="28" t="s">
        <v>909</v>
      </c>
      <c r="Q1545" s="28" t="s">
        <v>194</v>
      </c>
    </row>
    <row r="1546" spans="8:17" x14ac:dyDescent="0.25">
      <c r="H1546" s="28" t="s">
        <v>899</v>
      </c>
      <c r="J1546" s="28" t="s">
        <v>811</v>
      </c>
      <c r="K1546" s="28" t="s">
        <v>254</v>
      </c>
      <c r="O1546" s="28" t="s">
        <v>910</v>
      </c>
    </row>
    <row r="1547" spans="8:17" x14ac:dyDescent="0.25">
      <c r="J1547" s="28" t="s">
        <v>812</v>
      </c>
      <c r="N1547" s="28" t="s">
        <v>1253</v>
      </c>
      <c r="Q1547" s="28" t="s">
        <v>190</v>
      </c>
    </row>
    <row r="1548" spans="8:17" x14ac:dyDescent="0.25">
      <c r="H1548" s="28" t="s">
        <v>73</v>
      </c>
      <c r="J1548" s="28" t="s">
        <v>809</v>
      </c>
      <c r="K1548" s="28" t="s">
        <v>271</v>
      </c>
      <c r="N1548" s="28" t="s">
        <v>1254</v>
      </c>
      <c r="O1548" s="28" t="s">
        <v>810</v>
      </c>
    </row>
    <row r="1549" spans="8:17" x14ac:dyDescent="0.25">
      <c r="J1549" s="28" t="s">
        <v>813</v>
      </c>
      <c r="N1549" s="28" t="s">
        <v>1255</v>
      </c>
      <c r="Q1549" s="28" t="s">
        <v>1377</v>
      </c>
    </row>
    <row r="1550" spans="8:17" x14ac:dyDescent="0.25">
      <c r="H1550" s="28" t="s">
        <v>906</v>
      </c>
      <c r="J1550" s="28" t="s">
        <v>811</v>
      </c>
      <c r="K1550" s="28" t="s">
        <v>273</v>
      </c>
      <c r="O1550" s="28" t="s">
        <v>811</v>
      </c>
      <c r="Q1550" s="28" t="s">
        <v>705</v>
      </c>
    </row>
    <row r="1551" spans="8:17" x14ac:dyDescent="0.25">
      <c r="H1551" s="28" t="s">
        <v>907</v>
      </c>
      <c r="J1551" s="28" t="s">
        <v>814</v>
      </c>
      <c r="K1551" s="28" t="s">
        <v>274</v>
      </c>
      <c r="N1551" s="28" t="s">
        <v>1256</v>
      </c>
      <c r="O1551" s="28" t="s">
        <v>820</v>
      </c>
      <c r="Q1551" s="28" t="s">
        <v>1398</v>
      </c>
    </row>
    <row r="1552" spans="8:17" x14ac:dyDescent="0.25">
      <c r="J1552" s="28" t="s">
        <v>815</v>
      </c>
      <c r="K1552" s="28" t="s">
        <v>266</v>
      </c>
      <c r="N1552" s="28" t="s">
        <v>1255</v>
      </c>
      <c r="O1552" s="28" t="s">
        <v>821</v>
      </c>
    </row>
    <row r="1553" spans="8:17" x14ac:dyDescent="0.25">
      <c r="H1553" s="28" t="s">
        <v>243</v>
      </c>
      <c r="J1553" s="28" t="s">
        <v>809</v>
      </c>
      <c r="K1553" s="28" t="s">
        <v>275</v>
      </c>
      <c r="N1553" s="28" t="s">
        <v>244</v>
      </c>
      <c r="Q1553" s="28" t="s">
        <v>1372</v>
      </c>
    </row>
    <row r="1554" spans="8:17" x14ac:dyDescent="0.25">
      <c r="J1554" s="28" t="s">
        <v>816</v>
      </c>
      <c r="O1554" s="28" t="s">
        <v>811</v>
      </c>
    </row>
    <row r="1555" spans="8:17" x14ac:dyDescent="0.25">
      <c r="H1555" s="28" t="s">
        <v>933</v>
      </c>
      <c r="K1555" s="28" t="s">
        <v>878</v>
      </c>
      <c r="N1555" s="28" t="s">
        <v>419</v>
      </c>
      <c r="O1555" s="28" t="s">
        <v>822</v>
      </c>
      <c r="Q1555" s="28" t="s">
        <v>885</v>
      </c>
    </row>
    <row r="1556" spans="8:17" x14ac:dyDescent="0.25">
      <c r="J1556" s="28" t="s">
        <v>909</v>
      </c>
      <c r="K1556" s="28" t="s">
        <v>705</v>
      </c>
      <c r="O1556" s="28" t="s">
        <v>811</v>
      </c>
    </row>
    <row r="1557" spans="8:17" x14ac:dyDescent="0.25">
      <c r="H1557" s="28" t="s">
        <v>878</v>
      </c>
      <c r="J1557" s="28" t="s">
        <v>910</v>
      </c>
      <c r="K1557" s="28" t="s">
        <v>1055</v>
      </c>
      <c r="N1557" s="28" t="s">
        <v>244</v>
      </c>
      <c r="Q1557" s="28" t="s">
        <v>1373</v>
      </c>
    </row>
    <row r="1558" spans="8:17" x14ac:dyDescent="0.25">
      <c r="H1558" s="28" t="s">
        <v>705</v>
      </c>
      <c r="N1558" s="28" t="s">
        <v>1257</v>
      </c>
      <c r="O1558" s="28" t="s">
        <v>911</v>
      </c>
    </row>
    <row r="1559" spans="8:17" x14ac:dyDescent="0.25">
      <c r="H1559" s="28" t="s">
        <v>664</v>
      </c>
      <c r="J1559" s="28" t="s">
        <v>810</v>
      </c>
      <c r="K1559" s="28" t="s">
        <v>914</v>
      </c>
      <c r="Q1559" s="28" t="s">
        <v>687</v>
      </c>
    </row>
    <row r="1560" spans="8:17" x14ac:dyDescent="0.25">
      <c r="N1560" s="28" t="s">
        <v>1258</v>
      </c>
      <c r="O1560" s="28" t="s">
        <v>823</v>
      </c>
      <c r="Q1560" s="28" t="s">
        <v>1438</v>
      </c>
    </row>
    <row r="1561" spans="8:17" x14ac:dyDescent="0.25">
      <c r="H1561" s="28" t="s">
        <v>914</v>
      </c>
      <c r="J1561" s="28" t="s">
        <v>811</v>
      </c>
      <c r="K1561" s="28" t="s">
        <v>880</v>
      </c>
      <c r="O1561" s="28" t="s">
        <v>809</v>
      </c>
    </row>
    <row r="1562" spans="8:17" x14ac:dyDescent="0.25">
      <c r="J1562" s="28" t="s">
        <v>820</v>
      </c>
      <c r="K1562" s="28" t="s">
        <v>881</v>
      </c>
      <c r="N1562" s="28" t="s">
        <v>424</v>
      </c>
      <c r="O1562" s="28" t="s">
        <v>826</v>
      </c>
      <c r="Q1562" s="28" t="s">
        <v>1374</v>
      </c>
    </row>
    <row r="1563" spans="8:17" x14ac:dyDescent="0.25">
      <c r="H1563" s="28" t="s">
        <v>880</v>
      </c>
      <c r="J1563" s="28" t="s">
        <v>821</v>
      </c>
      <c r="K1563" s="28" t="s">
        <v>882</v>
      </c>
      <c r="Q1563" s="28" t="s">
        <v>882</v>
      </c>
    </row>
    <row r="1564" spans="8:17" x14ac:dyDescent="0.25">
      <c r="H1564" s="28" t="s">
        <v>881</v>
      </c>
      <c r="N1564" s="28" t="s">
        <v>424</v>
      </c>
      <c r="O1564" s="28" t="s">
        <v>827</v>
      </c>
    </row>
    <row r="1565" spans="8:17" x14ac:dyDescent="0.25">
      <c r="H1565" s="28" t="s">
        <v>882</v>
      </c>
      <c r="J1565" s="28" t="s">
        <v>811</v>
      </c>
      <c r="K1565" s="28" t="s">
        <v>883</v>
      </c>
      <c r="O1565" s="28" t="s">
        <v>823</v>
      </c>
      <c r="Q1565" s="28" t="s">
        <v>1441</v>
      </c>
    </row>
    <row r="1566" spans="8:17" x14ac:dyDescent="0.25">
      <c r="J1566" s="28" t="s">
        <v>822</v>
      </c>
      <c r="N1566" s="28" t="s">
        <v>244</v>
      </c>
      <c r="O1566" s="28" t="s">
        <v>809</v>
      </c>
    </row>
    <row r="1567" spans="8:17" x14ac:dyDescent="0.25">
      <c r="H1567" s="28" t="s">
        <v>883</v>
      </c>
      <c r="J1567" s="28" t="s">
        <v>811</v>
      </c>
      <c r="K1567" s="28" t="s">
        <v>884</v>
      </c>
      <c r="N1567" s="28" t="s">
        <v>160</v>
      </c>
      <c r="Q1567" s="28" t="s">
        <v>205</v>
      </c>
    </row>
    <row r="1568" spans="8:17" x14ac:dyDescent="0.25">
      <c r="N1568" s="28" t="s">
        <v>160</v>
      </c>
      <c r="O1568" s="28" t="s">
        <v>912</v>
      </c>
    </row>
    <row r="1569" spans="8:17" x14ac:dyDescent="0.25">
      <c r="H1569" s="28" t="s">
        <v>884</v>
      </c>
      <c r="J1569" s="28" t="s">
        <v>911</v>
      </c>
      <c r="K1569" s="28" t="s">
        <v>885</v>
      </c>
      <c r="Q1569" s="28" t="s">
        <v>160</v>
      </c>
    </row>
    <row r="1570" spans="8:17" x14ac:dyDescent="0.25">
      <c r="N1570" s="28" t="s">
        <v>1258</v>
      </c>
      <c r="O1570" s="28" t="s">
        <v>810</v>
      </c>
    </row>
    <row r="1571" spans="8:17" x14ac:dyDescent="0.25">
      <c r="H1571" s="28" t="s">
        <v>885</v>
      </c>
      <c r="J1571" s="28" t="s">
        <v>823</v>
      </c>
      <c r="K1571" s="28" t="s">
        <v>687</v>
      </c>
      <c r="O1571" s="28" t="s">
        <v>818</v>
      </c>
      <c r="Q1571" s="28" t="s">
        <v>1375</v>
      </c>
    </row>
    <row r="1572" spans="8:17" x14ac:dyDescent="0.25">
      <c r="J1572" s="28" t="s">
        <v>809</v>
      </c>
      <c r="K1572" s="28" t="s">
        <v>1075</v>
      </c>
      <c r="N1572" s="28" t="s">
        <v>1259</v>
      </c>
      <c r="Q1572" s="28" t="s">
        <v>1376</v>
      </c>
    </row>
    <row r="1573" spans="8:17" x14ac:dyDescent="0.25">
      <c r="H1573" s="28" t="s">
        <v>687</v>
      </c>
      <c r="J1573" s="28" t="s">
        <v>826</v>
      </c>
      <c r="O1573" s="28" t="s">
        <v>265</v>
      </c>
    </row>
    <row r="1574" spans="8:17" x14ac:dyDescent="0.25">
      <c r="H1574" s="28" t="s">
        <v>711</v>
      </c>
      <c r="K1574" s="28" t="s">
        <v>886</v>
      </c>
      <c r="N1574" s="28" t="s">
        <v>160</v>
      </c>
      <c r="O1574" s="28" t="s">
        <v>266</v>
      </c>
      <c r="Q1574" s="28" t="s">
        <v>689</v>
      </c>
    </row>
    <row r="1575" spans="8:17" x14ac:dyDescent="0.25">
      <c r="J1575" s="28" t="s">
        <v>827</v>
      </c>
      <c r="O1575" s="28" t="s">
        <v>267</v>
      </c>
    </row>
    <row r="1576" spans="8:17" x14ac:dyDescent="0.25">
      <c r="H1576" s="28" t="s">
        <v>886</v>
      </c>
      <c r="J1576" s="28" t="s">
        <v>823</v>
      </c>
      <c r="K1576" s="28" t="s">
        <v>205</v>
      </c>
      <c r="N1576" s="28" t="s">
        <v>1260</v>
      </c>
      <c r="O1576" s="28" t="s">
        <v>268</v>
      </c>
      <c r="Q1576" s="28" t="s">
        <v>1437</v>
      </c>
    </row>
    <row r="1577" spans="8:17" x14ac:dyDescent="0.25">
      <c r="J1577" s="28" t="s">
        <v>809</v>
      </c>
      <c r="N1577" s="28" t="s">
        <v>1261</v>
      </c>
    </row>
    <row r="1578" spans="8:17" x14ac:dyDescent="0.25">
      <c r="H1578" s="28" t="s">
        <v>205</v>
      </c>
      <c r="K1578" s="28" t="s">
        <v>887</v>
      </c>
      <c r="O1578" s="28" t="s">
        <v>269</v>
      </c>
      <c r="Q1578" s="28" t="s">
        <v>1437</v>
      </c>
    </row>
    <row r="1579" spans="8:17" x14ac:dyDescent="0.25">
      <c r="J1579" s="28" t="s">
        <v>912</v>
      </c>
      <c r="K1579" s="28" t="s">
        <v>888</v>
      </c>
      <c r="N1579" s="28" t="s">
        <v>916</v>
      </c>
      <c r="O1579" s="28" t="s">
        <v>270</v>
      </c>
    </row>
    <row r="1580" spans="8:17" x14ac:dyDescent="0.25">
      <c r="H1580" s="28" t="s">
        <v>887</v>
      </c>
      <c r="K1580" s="28" t="s">
        <v>716</v>
      </c>
      <c r="N1580" s="28" t="s">
        <v>1105</v>
      </c>
      <c r="O1580" s="28" t="s">
        <v>268</v>
      </c>
      <c r="Q1580" s="28" t="s">
        <v>1006</v>
      </c>
    </row>
    <row r="1581" spans="8:17" x14ac:dyDescent="0.25">
      <c r="H1581" s="28" t="s">
        <v>888</v>
      </c>
      <c r="J1581" s="28" t="s">
        <v>810</v>
      </c>
      <c r="N1581" s="28" t="s">
        <v>1262</v>
      </c>
      <c r="O1581" s="28" t="s">
        <v>267</v>
      </c>
      <c r="Q1581" s="28" t="s">
        <v>1462</v>
      </c>
    </row>
    <row r="1582" spans="8:17" x14ac:dyDescent="0.25">
      <c r="H1582" s="28" t="s">
        <v>718</v>
      </c>
      <c r="J1582" s="28" t="s">
        <v>818</v>
      </c>
      <c r="K1582" s="28" t="s">
        <v>889</v>
      </c>
      <c r="O1582" s="28" t="s">
        <v>269</v>
      </c>
    </row>
    <row r="1583" spans="8:17" x14ac:dyDescent="0.25">
      <c r="K1583" s="28" t="s">
        <v>716</v>
      </c>
      <c r="N1583" s="28" t="s">
        <v>502</v>
      </c>
      <c r="O1583" s="28" t="s">
        <v>265</v>
      </c>
      <c r="Q1583" s="28" t="s">
        <v>244</v>
      </c>
    </row>
    <row r="1584" spans="8:17" x14ac:dyDescent="0.25">
      <c r="H1584" s="28" t="s">
        <v>889</v>
      </c>
      <c r="J1584" s="28" t="s">
        <v>265</v>
      </c>
      <c r="N1584" s="28" t="s">
        <v>1105</v>
      </c>
      <c r="O1584" s="28" t="s">
        <v>254</v>
      </c>
      <c r="Q1584" s="28" t="s">
        <v>160</v>
      </c>
    </row>
    <row r="1585" spans="8:17" x14ac:dyDescent="0.25">
      <c r="J1585" s="28" t="s">
        <v>266</v>
      </c>
      <c r="K1585" s="28" t="s">
        <v>722</v>
      </c>
    </row>
    <row r="1586" spans="8:17" x14ac:dyDescent="0.25">
      <c r="H1586" s="28" t="s">
        <v>718</v>
      </c>
      <c r="J1586" s="28" t="s">
        <v>267</v>
      </c>
      <c r="N1586" s="28" t="s">
        <v>1263</v>
      </c>
      <c r="O1586" s="28" t="s">
        <v>271</v>
      </c>
      <c r="Q1586" s="28" t="s">
        <v>243</v>
      </c>
    </row>
    <row r="1587" spans="8:17" x14ac:dyDescent="0.25">
      <c r="J1587" s="28" t="s">
        <v>268</v>
      </c>
      <c r="K1587" s="28" t="s">
        <v>160</v>
      </c>
      <c r="Q1587" s="28" t="s">
        <v>244</v>
      </c>
    </row>
    <row r="1588" spans="8:17" x14ac:dyDescent="0.25">
      <c r="H1588" s="28" t="s">
        <v>721</v>
      </c>
      <c r="N1588" s="28" t="s">
        <v>160</v>
      </c>
      <c r="O1588" s="28" t="s">
        <v>273</v>
      </c>
      <c r="Q1588" s="28" t="s">
        <v>244</v>
      </c>
    </row>
    <row r="1589" spans="8:17" x14ac:dyDescent="0.25">
      <c r="J1589" s="28" t="s">
        <v>269</v>
      </c>
      <c r="K1589" s="28" t="s">
        <v>982</v>
      </c>
      <c r="O1589" s="28" t="s">
        <v>274</v>
      </c>
    </row>
    <row r="1590" spans="8:17" x14ac:dyDescent="0.25">
      <c r="H1590" s="28" t="s">
        <v>160</v>
      </c>
      <c r="J1590" s="28" t="s">
        <v>270</v>
      </c>
      <c r="K1590" s="28" t="s">
        <v>927</v>
      </c>
      <c r="N1590" s="28" t="s">
        <v>160</v>
      </c>
      <c r="O1590" s="28" t="s">
        <v>266</v>
      </c>
      <c r="Q1590" s="28" t="s">
        <v>160</v>
      </c>
    </row>
    <row r="1591" spans="8:17" x14ac:dyDescent="0.25">
      <c r="J1591" s="28" t="s">
        <v>268</v>
      </c>
      <c r="O1591" s="28" t="s">
        <v>275</v>
      </c>
    </row>
    <row r="1592" spans="8:17" x14ac:dyDescent="0.25">
      <c r="H1592" s="28" t="s">
        <v>934</v>
      </c>
      <c r="J1592" s="28" t="s">
        <v>267</v>
      </c>
      <c r="K1592" s="28" t="s">
        <v>243</v>
      </c>
      <c r="N1592" s="28" t="s">
        <v>1264</v>
      </c>
      <c r="Q1592" s="28" t="s">
        <v>243</v>
      </c>
    </row>
    <row r="1593" spans="8:17" x14ac:dyDescent="0.25">
      <c r="J1593" s="28" t="s">
        <v>269</v>
      </c>
      <c r="O1593" s="28" t="s">
        <v>891</v>
      </c>
      <c r="Q1593" s="28" t="s">
        <v>212</v>
      </c>
    </row>
    <row r="1594" spans="8:17" x14ac:dyDescent="0.25">
      <c r="H1594" s="28" t="s">
        <v>545</v>
      </c>
      <c r="J1594" s="28" t="s">
        <v>265</v>
      </c>
      <c r="K1594" s="28" t="s">
        <v>545</v>
      </c>
      <c r="N1594" s="28" t="s">
        <v>1265</v>
      </c>
      <c r="O1594" s="28" t="s">
        <v>892</v>
      </c>
    </row>
    <row r="1595" spans="8:17" x14ac:dyDescent="0.25">
      <c r="J1595" s="28" t="s">
        <v>254</v>
      </c>
      <c r="K1595" s="28" t="s">
        <v>160</v>
      </c>
      <c r="Q1595" s="28" t="s">
        <v>419</v>
      </c>
    </row>
    <row r="1596" spans="8:17" x14ac:dyDescent="0.25">
      <c r="H1596" s="28" t="s">
        <v>422</v>
      </c>
      <c r="N1596" s="28" t="s">
        <v>1266</v>
      </c>
      <c r="O1596" s="28" t="s">
        <v>779</v>
      </c>
      <c r="Q1596" s="28" t="s">
        <v>212</v>
      </c>
    </row>
    <row r="1597" spans="8:17" x14ac:dyDescent="0.25">
      <c r="H1597" s="28" t="s">
        <v>212</v>
      </c>
      <c r="J1597" s="28" t="s">
        <v>271</v>
      </c>
      <c r="K1597" s="28" t="s">
        <v>244</v>
      </c>
      <c r="O1597" s="28" t="s">
        <v>778</v>
      </c>
    </row>
    <row r="1598" spans="8:17" x14ac:dyDescent="0.25">
      <c r="N1598" s="28" t="s">
        <v>1267</v>
      </c>
      <c r="Q1598" s="28" t="s">
        <v>434</v>
      </c>
    </row>
    <row r="1599" spans="8:17" x14ac:dyDescent="0.25">
      <c r="H1599" s="28" t="s">
        <v>423</v>
      </c>
      <c r="J1599" s="28" t="s">
        <v>273</v>
      </c>
      <c r="K1599" s="28" t="s">
        <v>160</v>
      </c>
      <c r="N1599" s="28" t="s">
        <v>212</v>
      </c>
      <c r="O1599" s="28" t="s">
        <v>1328</v>
      </c>
    </row>
    <row r="1600" spans="8:17" x14ac:dyDescent="0.25">
      <c r="J1600" s="28" t="s">
        <v>274</v>
      </c>
      <c r="K1600" s="28" t="s">
        <v>212</v>
      </c>
      <c r="Q1600" s="28" t="s">
        <v>435</v>
      </c>
    </row>
    <row r="1601" spans="8:17" x14ac:dyDescent="0.25">
      <c r="H1601" s="28" t="s">
        <v>423</v>
      </c>
      <c r="J1601" s="28" t="s">
        <v>266</v>
      </c>
      <c r="N1601" s="28" t="s">
        <v>285</v>
      </c>
      <c r="O1601" s="28" t="s">
        <v>785</v>
      </c>
    </row>
    <row r="1602" spans="8:17" x14ac:dyDescent="0.25">
      <c r="J1602" s="28" t="s">
        <v>275</v>
      </c>
      <c r="K1602" s="28" t="s">
        <v>809</v>
      </c>
      <c r="Q1602" s="28" t="s">
        <v>990</v>
      </c>
    </row>
    <row r="1603" spans="8:17" x14ac:dyDescent="0.25">
      <c r="H1603" s="28" t="s">
        <v>926</v>
      </c>
      <c r="K1603" s="28" t="s">
        <v>810</v>
      </c>
      <c r="N1603" s="28" t="s">
        <v>1265</v>
      </c>
      <c r="O1603" s="28" t="s">
        <v>894</v>
      </c>
    </row>
    <row r="1604" spans="8:17" x14ac:dyDescent="0.25">
      <c r="J1604" s="28" t="s">
        <v>891</v>
      </c>
      <c r="K1604" s="28" t="s">
        <v>811</v>
      </c>
      <c r="Q1604" s="28" t="s">
        <v>1463</v>
      </c>
    </row>
    <row r="1605" spans="8:17" x14ac:dyDescent="0.25">
      <c r="H1605" s="28" t="s">
        <v>927</v>
      </c>
      <c r="J1605" s="28" t="s">
        <v>892</v>
      </c>
      <c r="K1605" s="28" t="s">
        <v>812</v>
      </c>
      <c r="N1605" s="28" t="s">
        <v>1268</v>
      </c>
      <c r="O1605" s="28" t="s">
        <v>895</v>
      </c>
    </row>
    <row r="1606" spans="8:17" x14ac:dyDescent="0.25">
      <c r="K1606" s="28" t="s">
        <v>809</v>
      </c>
      <c r="Q1606" s="28" t="s">
        <v>160</v>
      </c>
    </row>
    <row r="1607" spans="8:17" x14ac:dyDescent="0.25">
      <c r="H1607" s="28" t="s">
        <v>49</v>
      </c>
      <c r="J1607" s="28" t="s">
        <v>779</v>
      </c>
      <c r="K1607" s="28" t="s">
        <v>813</v>
      </c>
      <c r="N1607" s="28" t="s">
        <v>676</v>
      </c>
      <c r="O1607" s="28" t="s">
        <v>896</v>
      </c>
    </row>
    <row r="1608" spans="8:17" x14ac:dyDescent="0.25">
      <c r="J1608" s="28" t="s">
        <v>778</v>
      </c>
      <c r="K1608" s="28" t="s">
        <v>811</v>
      </c>
      <c r="N1608" s="28" t="s">
        <v>1006</v>
      </c>
      <c r="Q1608" s="28" t="s">
        <v>676</v>
      </c>
    </row>
    <row r="1609" spans="8:17" x14ac:dyDescent="0.25">
      <c r="H1609" s="28" t="s">
        <v>502</v>
      </c>
      <c r="K1609" s="28" t="s">
        <v>814</v>
      </c>
      <c r="O1609" s="28" t="s">
        <v>897</v>
      </c>
      <c r="Q1609" s="28" t="s">
        <v>241</v>
      </c>
    </row>
    <row r="1610" spans="8:17" x14ac:dyDescent="0.25">
      <c r="J1610" s="28" t="s">
        <v>1049</v>
      </c>
      <c r="K1610" s="28" t="s">
        <v>815</v>
      </c>
      <c r="N1610" s="28" t="s">
        <v>1268</v>
      </c>
    </row>
    <row r="1611" spans="8:17" x14ac:dyDescent="0.25">
      <c r="H1611" s="28" t="s">
        <v>545</v>
      </c>
      <c r="K1611" s="28" t="s">
        <v>809</v>
      </c>
      <c r="O1611" s="28" t="s">
        <v>898</v>
      </c>
      <c r="Q1611" s="28" t="s">
        <v>243</v>
      </c>
    </row>
    <row r="1612" spans="8:17" x14ac:dyDescent="0.25">
      <c r="J1612" s="28" t="s">
        <v>785</v>
      </c>
      <c r="K1612" s="28" t="s">
        <v>816</v>
      </c>
      <c r="N1612" s="28" t="s">
        <v>916</v>
      </c>
    </row>
    <row r="1613" spans="8:17" x14ac:dyDescent="0.25">
      <c r="H1613" s="28" t="s">
        <v>419</v>
      </c>
      <c r="O1613" s="28" t="s">
        <v>899</v>
      </c>
      <c r="Q1613" s="28" t="s">
        <v>1464</v>
      </c>
    </row>
    <row r="1614" spans="8:17" x14ac:dyDescent="0.25">
      <c r="H1614" s="28" t="s">
        <v>545</v>
      </c>
      <c r="J1614" s="28" t="s">
        <v>894</v>
      </c>
      <c r="K1614" s="28" t="s">
        <v>909</v>
      </c>
      <c r="N1614" s="28" t="s">
        <v>502</v>
      </c>
    </row>
    <row r="1615" spans="8:17" x14ac:dyDescent="0.25">
      <c r="K1615" s="28" t="s">
        <v>910</v>
      </c>
      <c r="O1615" s="28" t="s">
        <v>900</v>
      </c>
      <c r="Q1615" s="28" t="s">
        <v>284</v>
      </c>
    </row>
    <row r="1616" spans="8:17" x14ac:dyDescent="0.25">
      <c r="H1616" s="28" t="s">
        <v>935</v>
      </c>
      <c r="J1616" s="28" t="s">
        <v>895</v>
      </c>
      <c r="N1616" s="28" t="s">
        <v>243</v>
      </c>
    </row>
    <row r="1617" spans="8:17" x14ac:dyDescent="0.25">
      <c r="K1617" s="28" t="s">
        <v>810</v>
      </c>
      <c r="N1617" s="28" t="s">
        <v>545</v>
      </c>
      <c r="O1617" s="28" t="s">
        <v>901</v>
      </c>
      <c r="Q1617" s="28" t="s">
        <v>891</v>
      </c>
    </row>
    <row r="1618" spans="8:17" x14ac:dyDescent="0.25">
      <c r="H1618" s="28" t="s">
        <v>49</v>
      </c>
      <c r="J1618" s="28" t="s">
        <v>896</v>
      </c>
      <c r="N1618" s="28" t="s">
        <v>160</v>
      </c>
      <c r="Q1618" s="28" t="s">
        <v>892</v>
      </c>
    </row>
    <row r="1619" spans="8:17" x14ac:dyDescent="0.25">
      <c r="K1619" s="28" t="s">
        <v>811</v>
      </c>
      <c r="O1619" s="28" t="s">
        <v>902</v>
      </c>
    </row>
    <row r="1620" spans="8:17" x14ac:dyDescent="0.25">
      <c r="H1620" s="28" t="s">
        <v>919</v>
      </c>
      <c r="J1620" s="28" t="s">
        <v>897</v>
      </c>
      <c r="K1620" s="28" t="s">
        <v>820</v>
      </c>
      <c r="N1620" s="28" t="s">
        <v>160</v>
      </c>
      <c r="Q1620" s="28" t="s">
        <v>779</v>
      </c>
    </row>
    <row r="1621" spans="8:17" x14ac:dyDescent="0.25">
      <c r="H1621" s="28" t="s">
        <v>677</v>
      </c>
      <c r="K1621" s="28" t="s">
        <v>821</v>
      </c>
      <c r="O1621" s="28" t="s">
        <v>903</v>
      </c>
      <c r="Q1621" s="28" t="s">
        <v>778</v>
      </c>
    </row>
    <row r="1622" spans="8:17" x14ac:dyDescent="0.25">
      <c r="J1622" s="28" t="s">
        <v>898</v>
      </c>
      <c r="N1622" s="28" t="s">
        <v>212</v>
      </c>
    </row>
    <row r="1623" spans="8:17" x14ac:dyDescent="0.25">
      <c r="H1623" s="28" t="s">
        <v>378</v>
      </c>
      <c r="K1623" s="28" t="s">
        <v>811</v>
      </c>
      <c r="N1623" s="28" t="s">
        <v>420</v>
      </c>
      <c r="O1623" s="28" t="s">
        <v>1321</v>
      </c>
      <c r="Q1623" s="28" t="s">
        <v>1466</v>
      </c>
    </row>
    <row r="1624" spans="8:17" x14ac:dyDescent="0.25">
      <c r="J1624" s="28" t="s">
        <v>899</v>
      </c>
      <c r="K1624" s="28" t="s">
        <v>822</v>
      </c>
      <c r="N1624" s="28" t="s">
        <v>160</v>
      </c>
    </row>
    <row r="1625" spans="8:17" x14ac:dyDescent="0.25">
      <c r="H1625" s="28" t="s">
        <v>677</v>
      </c>
      <c r="K1625" s="28" t="s">
        <v>811</v>
      </c>
      <c r="O1625" s="28" t="s">
        <v>77</v>
      </c>
      <c r="Q1625" s="28" t="s">
        <v>77</v>
      </c>
    </row>
    <row r="1626" spans="8:17" x14ac:dyDescent="0.25">
      <c r="J1626" s="28" t="s">
        <v>900</v>
      </c>
      <c r="N1626" s="28" t="s">
        <v>809</v>
      </c>
    </row>
    <row r="1627" spans="8:17" x14ac:dyDescent="0.25">
      <c r="H1627" s="28" t="s">
        <v>936</v>
      </c>
      <c r="K1627" s="28" t="s">
        <v>911</v>
      </c>
      <c r="N1627" s="28" t="s">
        <v>810</v>
      </c>
      <c r="O1627" s="28" t="s">
        <v>972</v>
      </c>
      <c r="Q1627" s="28" t="s">
        <v>1459</v>
      </c>
    </row>
    <row r="1628" spans="8:17" x14ac:dyDescent="0.25">
      <c r="J1628" s="28" t="s">
        <v>901</v>
      </c>
      <c r="N1628" s="28" t="s">
        <v>811</v>
      </c>
    </row>
    <row r="1629" spans="8:17" x14ac:dyDescent="0.25">
      <c r="H1629" s="28" t="s">
        <v>936</v>
      </c>
      <c r="K1629" s="28" t="s">
        <v>823</v>
      </c>
      <c r="N1629" s="28" t="s">
        <v>812</v>
      </c>
      <c r="O1629" s="28" t="s">
        <v>905</v>
      </c>
      <c r="Q1629" s="28" t="s">
        <v>786</v>
      </c>
    </row>
    <row r="1630" spans="8:17" x14ac:dyDescent="0.25">
      <c r="J1630" s="28" t="s">
        <v>902</v>
      </c>
      <c r="K1630" s="28" t="s">
        <v>809</v>
      </c>
      <c r="N1630" s="28" t="s">
        <v>809</v>
      </c>
      <c r="O1630" s="28" t="s">
        <v>1293</v>
      </c>
    </row>
    <row r="1631" spans="8:17" x14ac:dyDescent="0.25">
      <c r="H1631" s="28" t="s">
        <v>418</v>
      </c>
      <c r="K1631" s="28" t="s">
        <v>826</v>
      </c>
      <c r="N1631" s="28" t="s">
        <v>813</v>
      </c>
      <c r="Q1631" s="28" t="s">
        <v>1383</v>
      </c>
    </row>
    <row r="1632" spans="8:17" x14ac:dyDescent="0.25">
      <c r="J1632" s="28" t="s">
        <v>903</v>
      </c>
      <c r="N1632" s="28" t="s">
        <v>811</v>
      </c>
      <c r="O1632" s="28" t="s">
        <v>326</v>
      </c>
      <c r="Q1632" s="28" t="s">
        <v>1445</v>
      </c>
    </row>
    <row r="1633" spans="8:17" x14ac:dyDescent="0.25">
      <c r="H1633" s="28" t="s">
        <v>562</v>
      </c>
      <c r="K1633" s="28" t="s">
        <v>827</v>
      </c>
      <c r="N1633" s="28" t="s">
        <v>814</v>
      </c>
      <c r="O1633" s="28" t="s">
        <v>899</v>
      </c>
    </row>
    <row r="1634" spans="8:17" x14ac:dyDescent="0.25">
      <c r="J1634" s="28" t="s">
        <v>77</v>
      </c>
      <c r="K1634" s="28" t="s">
        <v>823</v>
      </c>
      <c r="N1634" s="28" t="s">
        <v>815</v>
      </c>
      <c r="Q1634" s="28" t="s">
        <v>326</v>
      </c>
    </row>
    <row r="1635" spans="8:17" x14ac:dyDescent="0.25">
      <c r="H1635" s="28" t="s">
        <v>418</v>
      </c>
      <c r="K1635" s="28" t="s">
        <v>809</v>
      </c>
      <c r="N1635" s="28" t="s">
        <v>809</v>
      </c>
      <c r="O1635" s="28" t="s">
        <v>82</v>
      </c>
      <c r="Q1635" s="28" t="s">
        <v>327</v>
      </c>
    </row>
    <row r="1636" spans="8:17" x14ac:dyDescent="0.25">
      <c r="J1636" s="28" t="s">
        <v>904</v>
      </c>
      <c r="N1636" s="28" t="s">
        <v>816</v>
      </c>
    </row>
    <row r="1637" spans="8:17" x14ac:dyDescent="0.25">
      <c r="H1637" s="28" t="s">
        <v>864</v>
      </c>
      <c r="K1637" s="28" t="s">
        <v>912</v>
      </c>
      <c r="O1637" s="28" t="s">
        <v>906</v>
      </c>
      <c r="Q1637" s="28" t="s">
        <v>73</v>
      </c>
    </row>
    <row r="1638" spans="8:17" x14ac:dyDescent="0.25">
      <c r="J1638" s="28" t="s">
        <v>780</v>
      </c>
      <c r="N1638" s="28" t="s">
        <v>909</v>
      </c>
      <c r="O1638" s="28" t="s">
        <v>907</v>
      </c>
    </row>
    <row r="1639" spans="8:17" x14ac:dyDescent="0.25">
      <c r="H1639" s="28" t="s">
        <v>212</v>
      </c>
      <c r="K1639" s="28" t="s">
        <v>810</v>
      </c>
      <c r="N1639" s="28" t="s">
        <v>910</v>
      </c>
      <c r="Q1639" s="28" t="s">
        <v>906</v>
      </c>
    </row>
    <row r="1640" spans="8:17" x14ac:dyDescent="0.25">
      <c r="J1640" s="28" t="s">
        <v>905</v>
      </c>
      <c r="K1640" s="28" t="s">
        <v>818</v>
      </c>
      <c r="O1640" s="28" t="s">
        <v>424</v>
      </c>
      <c r="Q1640" s="28" t="s">
        <v>350</v>
      </c>
    </row>
    <row r="1641" spans="8:17" x14ac:dyDescent="0.25">
      <c r="H1641" s="28" t="s">
        <v>934</v>
      </c>
      <c r="J1641" s="28" t="s">
        <v>1017</v>
      </c>
      <c r="N1641" s="28" t="s">
        <v>810</v>
      </c>
    </row>
    <row r="1642" spans="8:17" x14ac:dyDescent="0.25">
      <c r="K1642" s="28" t="s">
        <v>265</v>
      </c>
      <c r="O1642" s="28" t="s">
        <v>908</v>
      </c>
      <c r="Q1642" s="28" t="s">
        <v>424</v>
      </c>
    </row>
    <row r="1643" spans="8:17" x14ac:dyDescent="0.25">
      <c r="H1643" s="28" t="s">
        <v>918</v>
      </c>
      <c r="J1643" s="28" t="s">
        <v>326</v>
      </c>
      <c r="K1643" s="28" t="s">
        <v>266</v>
      </c>
      <c r="N1643" s="28" t="s">
        <v>811</v>
      </c>
    </row>
    <row r="1644" spans="8:17" x14ac:dyDescent="0.25">
      <c r="H1644" s="28" t="s">
        <v>677</v>
      </c>
      <c r="J1644" s="28" t="s">
        <v>899</v>
      </c>
      <c r="K1644" s="28" t="s">
        <v>267</v>
      </c>
      <c r="N1644" s="28" t="s">
        <v>820</v>
      </c>
      <c r="O1644" s="28" t="s">
        <v>365</v>
      </c>
      <c r="Q1644" s="28" t="s">
        <v>1384</v>
      </c>
    </row>
    <row r="1645" spans="8:17" x14ac:dyDescent="0.25">
      <c r="K1645" s="28" t="s">
        <v>268</v>
      </c>
      <c r="N1645" s="28" t="s">
        <v>821</v>
      </c>
    </row>
    <row r="1646" spans="8:17" x14ac:dyDescent="0.25">
      <c r="H1646" s="28" t="s">
        <v>928</v>
      </c>
      <c r="J1646" s="28" t="s">
        <v>73</v>
      </c>
      <c r="Q1646" s="28" t="s">
        <v>1385</v>
      </c>
    </row>
    <row r="1647" spans="8:17" x14ac:dyDescent="0.25">
      <c r="K1647" s="28" t="s">
        <v>269</v>
      </c>
      <c r="N1647" s="28" t="s">
        <v>811</v>
      </c>
    </row>
    <row r="1648" spans="8:17" x14ac:dyDescent="0.25">
      <c r="H1648" s="28" t="s">
        <v>212</v>
      </c>
      <c r="J1648" s="28" t="s">
        <v>906</v>
      </c>
      <c r="K1648" s="28" t="s">
        <v>270</v>
      </c>
      <c r="N1648" s="28" t="s">
        <v>822</v>
      </c>
      <c r="Q1648" s="28" t="s">
        <v>1386</v>
      </c>
    </row>
    <row r="1649" spans="8:17" x14ac:dyDescent="0.25">
      <c r="J1649" s="28" t="s">
        <v>907</v>
      </c>
      <c r="K1649" s="28" t="s">
        <v>268</v>
      </c>
      <c r="N1649" s="28" t="s">
        <v>811</v>
      </c>
    </row>
    <row r="1650" spans="8:17" x14ac:dyDescent="0.25">
      <c r="H1650" s="28" t="s">
        <v>419</v>
      </c>
      <c r="K1650" s="28" t="s">
        <v>267</v>
      </c>
      <c r="Q1650" s="28" t="s">
        <v>245</v>
      </c>
    </row>
    <row r="1651" spans="8:17" x14ac:dyDescent="0.25">
      <c r="H1651" s="28" t="s">
        <v>545</v>
      </c>
      <c r="J1651" s="28" t="s">
        <v>243</v>
      </c>
      <c r="K1651" s="28" t="s">
        <v>269</v>
      </c>
      <c r="N1651" s="28" t="s">
        <v>911</v>
      </c>
      <c r="Q1651" s="28" t="s">
        <v>246</v>
      </c>
    </row>
    <row r="1652" spans="8:17" x14ac:dyDescent="0.25">
      <c r="K1652" s="28" t="s">
        <v>265</v>
      </c>
      <c r="Q1652" s="28" t="s">
        <v>247</v>
      </c>
    </row>
    <row r="1653" spans="8:17" x14ac:dyDescent="0.25">
      <c r="H1653" s="28" t="s">
        <v>929</v>
      </c>
      <c r="J1653" s="28" t="s">
        <v>908</v>
      </c>
      <c r="K1653" s="28" t="s">
        <v>254</v>
      </c>
      <c r="N1653" s="28" t="s">
        <v>823</v>
      </c>
      <c r="Q1653" s="28" t="s">
        <v>248</v>
      </c>
    </row>
    <row r="1654" spans="8:17" x14ac:dyDescent="0.25">
      <c r="H1654" s="28" t="s">
        <v>930</v>
      </c>
      <c r="N1654" s="28" t="s">
        <v>809</v>
      </c>
      <c r="Q1654" s="28" t="s">
        <v>245</v>
      </c>
    </row>
    <row r="1655" spans="8:17" x14ac:dyDescent="0.25">
      <c r="H1655" s="28" t="s">
        <v>920</v>
      </c>
      <c r="J1655" s="28" t="s">
        <v>878</v>
      </c>
      <c r="K1655" s="28" t="s">
        <v>271</v>
      </c>
      <c r="N1655" s="28" t="s">
        <v>826</v>
      </c>
      <c r="Q1655" s="28" t="s">
        <v>249</v>
      </c>
    </row>
    <row r="1656" spans="8:17" x14ac:dyDescent="0.25">
      <c r="J1656" s="28" t="s">
        <v>705</v>
      </c>
      <c r="Q1656" s="28" t="s">
        <v>247</v>
      </c>
    </row>
    <row r="1657" spans="8:17" x14ac:dyDescent="0.25">
      <c r="H1657" s="28" t="s">
        <v>212</v>
      </c>
      <c r="J1657" s="28" t="s">
        <v>994</v>
      </c>
      <c r="K1657" s="28" t="s">
        <v>273</v>
      </c>
      <c r="N1657" s="28" t="s">
        <v>827</v>
      </c>
      <c r="Q1657" s="28" t="s">
        <v>250</v>
      </c>
    </row>
    <row r="1658" spans="8:17" x14ac:dyDescent="0.25">
      <c r="K1658" s="28" t="s">
        <v>274</v>
      </c>
      <c r="N1658" s="28" t="s">
        <v>823</v>
      </c>
      <c r="Q1658" s="28" t="s">
        <v>251</v>
      </c>
    </row>
    <row r="1659" spans="8:17" x14ac:dyDescent="0.25">
      <c r="H1659" s="28" t="s">
        <v>426</v>
      </c>
      <c r="J1659" s="28" t="s">
        <v>914</v>
      </c>
      <c r="K1659" s="28" t="s">
        <v>266</v>
      </c>
      <c r="N1659" s="28" t="s">
        <v>809</v>
      </c>
      <c r="Q1659" s="28" t="s">
        <v>245</v>
      </c>
    </row>
    <row r="1660" spans="8:17" x14ac:dyDescent="0.25">
      <c r="H1660" s="28" t="s">
        <v>930</v>
      </c>
      <c r="K1660" s="28" t="s">
        <v>275</v>
      </c>
      <c r="Q1660" s="28" t="s">
        <v>252</v>
      </c>
    </row>
    <row r="1661" spans="8:17" x14ac:dyDescent="0.25">
      <c r="J1661" s="28" t="s">
        <v>880</v>
      </c>
      <c r="N1661" s="28" t="s">
        <v>912</v>
      </c>
    </row>
    <row r="1662" spans="8:17" x14ac:dyDescent="0.25">
      <c r="H1662" s="28" t="s">
        <v>937</v>
      </c>
      <c r="J1662" s="28" t="s">
        <v>881</v>
      </c>
      <c r="K1662" s="28" t="s">
        <v>891</v>
      </c>
      <c r="Q1662" s="28" t="s">
        <v>253</v>
      </c>
    </row>
    <row r="1663" spans="8:17" x14ac:dyDescent="0.25">
      <c r="J1663" s="28" t="s">
        <v>882</v>
      </c>
      <c r="K1663" s="28" t="s">
        <v>892</v>
      </c>
      <c r="N1663" s="28" t="s">
        <v>810</v>
      </c>
    </row>
    <row r="1664" spans="8:17" x14ac:dyDescent="0.25">
      <c r="H1664" s="28" t="s">
        <v>243</v>
      </c>
      <c r="N1664" s="28" t="s">
        <v>818</v>
      </c>
      <c r="Q1664" s="28" t="s">
        <v>254</v>
      </c>
    </row>
    <row r="1665" spans="8:17" x14ac:dyDescent="0.25">
      <c r="J1665" s="28" t="s">
        <v>883</v>
      </c>
      <c r="K1665" s="28" t="s">
        <v>779</v>
      </c>
      <c r="Q1665" s="28" t="s">
        <v>255</v>
      </c>
    </row>
    <row r="1666" spans="8:17" x14ac:dyDescent="0.25">
      <c r="H1666" s="28" t="s">
        <v>424</v>
      </c>
      <c r="K1666" s="28" t="s">
        <v>778</v>
      </c>
      <c r="N1666" s="28" t="s">
        <v>265</v>
      </c>
      <c r="Q1666" s="28" t="s">
        <v>248</v>
      </c>
    </row>
    <row r="1667" spans="8:17" x14ac:dyDescent="0.25">
      <c r="J1667" s="28" t="s">
        <v>884</v>
      </c>
      <c r="N1667" s="28" t="s">
        <v>266</v>
      </c>
      <c r="Q1667" s="28" t="s">
        <v>246</v>
      </c>
    </row>
    <row r="1668" spans="8:17" x14ac:dyDescent="0.25">
      <c r="H1668" s="28" t="s">
        <v>683</v>
      </c>
      <c r="K1668" s="28" t="s">
        <v>1114</v>
      </c>
      <c r="N1668" s="28" t="s">
        <v>267</v>
      </c>
      <c r="Q1668" s="28" t="s">
        <v>256</v>
      </c>
    </row>
    <row r="1669" spans="8:17" x14ac:dyDescent="0.25">
      <c r="J1669" s="28" t="s">
        <v>885</v>
      </c>
      <c r="N1669" s="28" t="s">
        <v>268</v>
      </c>
    </row>
    <row r="1670" spans="8:17" x14ac:dyDescent="0.25">
      <c r="H1670" s="28" t="s">
        <v>243</v>
      </c>
      <c r="K1670" s="28" t="s">
        <v>785</v>
      </c>
      <c r="Q1670" s="28" t="s">
        <v>254</v>
      </c>
    </row>
    <row r="1671" spans="8:17" x14ac:dyDescent="0.25">
      <c r="J1671" s="28" t="s">
        <v>687</v>
      </c>
      <c r="N1671" s="28" t="s">
        <v>269</v>
      </c>
      <c r="Q1671" s="28" t="s">
        <v>255</v>
      </c>
    </row>
    <row r="1672" spans="8:17" x14ac:dyDescent="0.25">
      <c r="H1672" s="28" t="s">
        <v>160</v>
      </c>
      <c r="J1672" s="28" t="s">
        <v>1009</v>
      </c>
      <c r="K1672" s="28" t="s">
        <v>894</v>
      </c>
      <c r="N1672" s="28" t="s">
        <v>270</v>
      </c>
    </row>
    <row r="1673" spans="8:17" x14ac:dyDescent="0.25">
      <c r="N1673" s="28" t="s">
        <v>268</v>
      </c>
      <c r="Q1673" s="28" t="s">
        <v>257</v>
      </c>
    </row>
    <row r="1674" spans="8:17" x14ac:dyDescent="0.25">
      <c r="H1674" s="28" t="s">
        <v>243</v>
      </c>
      <c r="J1674" s="28" t="s">
        <v>886</v>
      </c>
      <c r="K1674" s="28" t="s">
        <v>895</v>
      </c>
      <c r="N1674" s="28" t="s">
        <v>267</v>
      </c>
      <c r="Q1674" s="28" t="s">
        <v>247</v>
      </c>
    </row>
    <row r="1675" spans="8:17" x14ac:dyDescent="0.25">
      <c r="N1675" s="28" t="s">
        <v>269</v>
      </c>
      <c r="Q1675" s="28" t="s">
        <v>258</v>
      </c>
    </row>
    <row r="1676" spans="8:17" x14ac:dyDescent="0.25">
      <c r="H1676" s="28" t="s">
        <v>160</v>
      </c>
      <c r="J1676" s="28" t="s">
        <v>205</v>
      </c>
      <c r="K1676" s="28" t="s">
        <v>896</v>
      </c>
      <c r="N1676" s="28" t="s">
        <v>265</v>
      </c>
      <c r="Q1676" s="28" t="s">
        <v>259</v>
      </c>
    </row>
    <row r="1677" spans="8:17" x14ac:dyDescent="0.25">
      <c r="N1677" s="28" t="s">
        <v>254</v>
      </c>
    </row>
    <row r="1678" spans="8:17" x14ac:dyDescent="0.25">
      <c r="H1678" s="28" t="s">
        <v>916</v>
      </c>
      <c r="J1678" s="28" t="s">
        <v>887</v>
      </c>
      <c r="K1678" s="28" t="s">
        <v>897</v>
      </c>
      <c r="Q1678" s="28" t="s">
        <v>247</v>
      </c>
    </row>
    <row r="1679" spans="8:17" x14ac:dyDescent="0.25">
      <c r="J1679" s="28" t="s">
        <v>888</v>
      </c>
      <c r="N1679" s="28" t="s">
        <v>271</v>
      </c>
      <c r="Q1679" s="28" t="s">
        <v>260</v>
      </c>
    </row>
    <row r="1680" spans="8:17" x14ac:dyDescent="0.25">
      <c r="H1680" s="28" t="s">
        <v>916</v>
      </c>
      <c r="J1680" s="28" t="s">
        <v>219</v>
      </c>
      <c r="K1680" s="28" t="s">
        <v>898</v>
      </c>
      <c r="Q1680" s="28" t="s">
        <v>247</v>
      </c>
    </row>
    <row r="1681" spans="8:17" x14ac:dyDescent="0.25">
      <c r="N1681" s="28" t="s">
        <v>273</v>
      </c>
      <c r="Q1681" s="28" t="s">
        <v>261</v>
      </c>
    </row>
    <row r="1682" spans="8:17" x14ac:dyDescent="0.25">
      <c r="H1682" s="28" t="s">
        <v>502</v>
      </c>
      <c r="J1682" s="28" t="s">
        <v>889</v>
      </c>
      <c r="K1682" s="28" t="s">
        <v>899</v>
      </c>
      <c r="N1682" s="28" t="s">
        <v>274</v>
      </c>
      <c r="Q1682" s="28" t="s">
        <v>254</v>
      </c>
    </row>
    <row r="1683" spans="8:17" x14ac:dyDescent="0.25">
      <c r="N1683" s="28" t="s">
        <v>266</v>
      </c>
    </row>
    <row r="1684" spans="8:17" x14ac:dyDescent="0.25">
      <c r="H1684" s="28" t="s">
        <v>452</v>
      </c>
      <c r="J1684" s="28" t="s">
        <v>219</v>
      </c>
      <c r="K1684" s="28" t="s">
        <v>900</v>
      </c>
      <c r="N1684" s="28" t="s">
        <v>275</v>
      </c>
      <c r="Q1684" s="28" t="s">
        <v>262</v>
      </c>
    </row>
    <row r="1686" spans="8:17" x14ac:dyDescent="0.25">
      <c r="H1686" s="28" t="s">
        <v>722</v>
      </c>
      <c r="J1686" s="28" t="s">
        <v>864</v>
      </c>
      <c r="K1686" s="28" t="s">
        <v>901</v>
      </c>
      <c r="N1686" s="28" t="s">
        <v>915</v>
      </c>
      <c r="Q1686" s="28" t="s">
        <v>254</v>
      </c>
    </row>
    <row r="1687" spans="8:17" x14ac:dyDescent="0.25">
      <c r="N1687" s="28" t="s">
        <v>705</v>
      </c>
      <c r="Q1687" s="28" t="s">
        <v>255</v>
      </c>
    </row>
    <row r="1688" spans="8:17" x14ac:dyDescent="0.25">
      <c r="H1688" s="28" t="s">
        <v>935</v>
      </c>
      <c r="J1688" s="28" t="s">
        <v>160</v>
      </c>
      <c r="K1688" s="28" t="s">
        <v>902</v>
      </c>
      <c r="N1688" s="28" t="s">
        <v>1172</v>
      </c>
      <c r="Q1688" s="28" t="s">
        <v>263</v>
      </c>
    </row>
    <row r="1689" spans="8:17" x14ac:dyDescent="0.25">
      <c r="Q1689" s="28" t="s">
        <v>261</v>
      </c>
    </row>
    <row r="1690" spans="8:17" x14ac:dyDescent="0.25">
      <c r="H1690" s="28" t="s">
        <v>452</v>
      </c>
      <c r="J1690" s="28" t="s">
        <v>917</v>
      </c>
      <c r="K1690" s="28" t="s">
        <v>903</v>
      </c>
      <c r="N1690" s="28" t="s">
        <v>879</v>
      </c>
      <c r="Q1690" s="28" t="s">
        <v>245</v>
      </c>
    </row>
    <row r="1691" spans="8:17" x14ac:dyDescent="0.25">
      <c r="J1691" s="28" t="s">
        <v>864</v>
      </c>
      <c r="Q1691" s="28" t="s">
        <v>264</v>
      </c>
    </row>
    <row r="1692" spans="8:17" x14ac:dyDescent="0.25">
      <c r="H1692" s="28" t="s">
        <v>425</v>
      </c>
      <c r="K1692" s="28" t="s">
        <v>1108</v>
      </c>
      <c r="N1692" s="28" t="s">
        <v>880</v>
      </c>
    </row>
    <row r="1693" spans="8:17" x14ac:dyDescent="0.25">
      <c r="H1693" s="28" t="s">
        <v>930</v>
      </c>
      <c r="J1693" s="28" t="s">
        <v>545</v>
      </c>
      <c r="N1693" s="28" t="s">
        <v>881</v>
      </c>
      <c r="Q1693" s="28" t="s">
        <v>255</v>
      </c>
    </row>
    <row r="1694" spans="8:17" x14ac:dyDescent="0.25">
      <c r="H1694" s="28" t="s">
        <v>938</v>
      </c>
      <c r="K1694" s="28" t="s">
        <v>77</v>
      </c>
      <c r="N1694" s="28" t="s">
        <v>882</v>
      </c>
    </row>
    <row r="1695" spans="8:17" x14ac:dyDescent="0.25">
      <c r="J1695" s="28" t="s">
        <v>243</v>
      </c>
      <c r="Q1695" s="28" t="s">
        <v>250</v>
      </c>
    </row>
    <row r="1696" spans="8:17" x14ac:dyDescent="0.25">
      <c r="H1696" s="28" t="s">
        <v>160</v>
      </c>
      <c r="J1696" s="28" t="s">
        <v>212</v>
      </c>
      <c r="K1696" s="28" t="s">
        <v>972</v>
      </c>
      <c r="N1696" s="28" t="s">
        <v>883</v>
      </c>
      <c r="Q1696" s="28" t="s">
        <v>261</v>
      </c>
    </row>
    <row r="1697" spans="8:17" x14ac:dyDescent="0.25">
      <c r="Q1697" s="28" t="s">
        <v>245</v>
      </c>
    </row>
    <row r="1698" spans="8:17" x14ac:dyDescent="0.25">
      <c r="H1698" s="28" t="s">
        <v>424</v>
      </c>
      <c r="J1698" s="28" t="s">
        <v>255</v>
      </c>
      <c r="K1698" s="28" t="s">
        <v>905</v>
      </c>
      <c r="N1698" s="28" t="s">
        <v>884</v>
      </c>
      <c r="Q1698" s="28" t="s">
        <v>263</v>
      </c>
    </row>
    <row r="1699" spans="8:17" x14ac:dyDescent="0.25">
      <c r="K1699" s="28" t="s">
        <v>1084</v>
      </c>
      <c r="Q1699" s="28" t="s">
        <v>254</v>
      </c>
    </row>
    <row r="1700" spans="8:17" x14ac:dyDescent="0.25">
      <c r="H1700" s="28" t="s">
        <v>427</v>
      </c>
      <c r="J1700" s="28" t="s">
        <v>243</v>
      </c>
      <c r="N1700" s="28" t="s">
        <v>885</v>
      </c>
      <c r="Q1700" s="28" t="s">
        <v>253</v>
      </c>
    </row>
    <row r="1701" spans="8:17" x14ac:dyDescent="0.25">
      <c r="H1701" s="28" t="s">
        <v>930</v>
      </c>
      <c r="J1701" s="28" t="s">
        <v>212</v>
      </c>
      <c r="K1701" s="28" t="s">
        <v>326</v>
      </c>
    </row>
    <row r="1702" spans="8:17" x14ac:dyDescent="0.25">
      <c r="J1702" s="28" t="s">
        <v>212</v>
      </c>
      <c r="K1702" s="28" t="s">
        <v>899</v>
      </c>
      <c r="N1702" s="28" t="s">
        <v>687</v>
      </c>
      <c r="Q1702" s="28" t="s">
        <v>254</v>
      </c>
    </row>
    <row r="1703" spans="8:17" x14ac:dyDescent="0.25">
      <c r="H1703" s="28" t="s">
        <v>160</v>
      </c>
      <c r="N1703" s="28" t="s">
        <v>1178</v>
      </c>
      <c r="Q1703" s="28" t="s">
        <v>255</v>
      </c>
    </row>
    <row r="1704" spans="8:17" x14ac:dyDescent="0.25">
      <c r="J1704" s="28" t="s">
        <v>255</v>
      </c>
      <c r="K1704" s="28" t="s">
        <v>82</v>
      </c>
      <c r="Q1704" s="28" t="s">
        <v>248</v>
      </c>
    </row>
    <row r="1705" spans="8:17" x14ac:dyDescent="0.25">
      <c r="H1705" s="28" t="s">
        <v>212</v>
      </c>
      <c r="N1705" s="28" t="s">
        <v>886</v>
      </c>
      <c r="Q1705" s="28" t="s">
        <v>246</v>
      </c>
    </row>
    <row r="1706" spans="8:17" x14ac:dyDescent="0.25">
      <c r="J1706" s="28" t="s">
        <v>243</v>
      </c>
      <c r="K1706" s="28" t="s">
        <v>906</v>
      </c>
      <c r="Q1706" s="28" t="s">
        <v>256</v>
      </c>
    </row>
    <row r="1707" spans="8:17" x14ac:dyDescent="0.25">
      <c r="H1707" s="28" t="s">
        <v>285</v>
      </c>
      <c r="J1707" s="28" t="s">
        <v>212</v>
      </c>
      <c r="K1707" s="28" t="s">
        <v>907</v>
      </c>
      <c r="N1707" s="28" t="s">
        <v>205</v>
      </c>
    </row>
    <row r="1708" spans="8:17" x14ac:dyDescent="0.25">
      <c r="Q1708" s="28" t="s">
        <v>265</v>
      </c>
    </row>
    <row r="1709" spans="8:17" x14ac:dyDescent="0.25">
      <c r="H1709" s="28" t="s">
        <v>212</v>
      </c>
      <c r="J1709" s="28" t="s">
        <v>809</v>
      </c>
      <c r="K1709" s="28" t="s">
        <v>424</v>
      </c>
      <c r="N1709" s="28" t="s">
        <v>887</v>
      </c>
      <c r="Q1709" s="28" t="s">
        <v>266</v>
      </c>
    </row>
    <row r="1710" spans="8:17" x14ac:dyDescent="0.25">
      <c r="J1710" s="28" t="s">
        <v>810</v>
      </c>
      <c r="N1710" s="28" t="s">
        <v>888</v>
      </c>
      <c r="Q1710" s="28" t="s">
        <v>267</v>
      </c>
    </row>
    <row r="1711" spans="8:17" x14ac:dyDescent="0.25">
      <c r="H1711" s="28" t="s">
        <v>562</v>
      </c>
      <c r="J1711" s="28" t="s">
        <v>811</v>
      </c>
      <c r="K1711" s="28" t="s">
        <v>908</v>
      </c>
      <c r="N1711" s="28" t="s">
        <v>869</v>
      </c>
      <c r="Q1711" s="28" t="s">
        <v>268</v>
      </c>
    </row>
    <row r="1712" spans="8:17" x14ac:dyDescent="0.25">
      <c r="J1712" s="28" t="s">
        <v>812</v>
      </c>
    </row>
    <row r="1713" spans="8:17" x14ac:dyDescent="0.25">
      <c r="H1713" s="28" t="s">
        <v>939</v>
      </c>
      <c r="J1713" s="28" t="s">
        <v>809</v>
      </c>
      <c r="K1713" s="28" t="s">
        <v>878</v>
      </c>
      <c r="N1713" s="28" t="s">
        <v>889</v>
      </c>
      <c r="Q1713" s="28" t="s">
        <v>269</v>
      </c>
    </row>
    <row r="1714" spans="8:17" x14ac:dyDescent="0.25">
      <c r="J1714" s="28" t="s">
        <v>813</v>
      </c>
      <c r="K1714" s="28" t="s">
        <v>705</v>
      </c>
      <c r="Q1714" s="28" t="s">
        <v>270</v>
      </c>
    </row>
    <row r="1715" spans="8:17" x14ac:dyDescent="0.25">
      <c r="H1715" s="28" t="s">
        <v>940</v>
      </c>
      <c r="J1715" s="28" t="s">
        <v>811</v>
      </c>
      <c r="K1715" s="28" t="s">
        <v>1065</v>
      </c>
      <c r="N1715" s="28" t="s">
        <v>869</v>
      </c>
      <c r="Q1715" s="28" t="s">
        <v>268</v>
      </c>
    </row>
    <row r="1716" spans="8:17" x14ac:dyDescent="0.25">
      <c r="J1716" s="28" t="s">
        <v>814</v>
      </c>
      <c r="Q1716" s="28" t="s">
        <v>267</v>
      </c>
    </row>
    <row r="1717" spans="8:17" x14ac:dyDescent="0.25">
      <c r="H1717" s="28" t="s">
        <v>941</v>
      </c>
      <c r="J1717" s="28" t="s">
        <v>815</v>
      </c>
      <c r="K1717" s="28" t="s">
        <v>914</v>
      </c>
      <c r="N1717" s="28" t="s">
        <v>1181</v>
      </c>
      <c r="Q1717" s="28" t="s">
        <v>269</v>
      </c>
    </row>
    <row r="1718" spans="8:17" x14ac:dyDescent="0.25">
      <c r="J1718" s="28" t="s">
        <v>809</v>
      </c>
      <c r="Q1718" s="28" t="s">
        <v>265</v>
      </c>
    </row>
    <row r="1719" spans="8:17" x14ac:dyDescent="0.25">
      <c r="H1719" s="28" t="s">
        <v>809</v>
      </c>
      <c r="J1719" s="28" t="s">
        <v>816</v>
      </c>
      <c r="K1719" s="28" t="s">
        <v>880</v>
      </c>
      <c r="N1719" s="28" t="s">
        <v>160</v>
      </c>
      <c r="Q1719" s="28" t="s">
        <v>254</v>
      </c>
    </row>
    <row r="1720" spans="8:17" x14ac:dyDescent="0.25">
      <c r="H1720" s="28" t="s">
        <v>810</v>
      </c>
      <c r="K1720" s="28" t="s">
        <v>881</v>
      </c>
    </row>
    <row r="1721" spans="8:17" x14ac:dyDescent="0.25">
      <c r="H1721" s="28" t="s">
        <v>811</v>
      </c>
      <c r="J1721" s="28" t="s">
        <v>909</v>
      </c>
      <c r="K1721" s="28" t="s">
        <v>882</v>
      </c>
      <c r="N1721" s="28" t="s">
        <v>1264</v>
      </c>
      <c r="Q1721" s="28" t="s">
        <v>271</v>
      </c>
    </row>
    <row r="1722" spans="8:17" x14ac:dyDescent="0.25">
      <c r="H1722" s="28" t="s">
        <v>812</v>
      </c>
      <c r="J1722" s="28" t="s">
        <v>910</v>
      </c>
    </row>
    <row r="1723" spans="8:17" x14ac:dyDescent="0.25">
      <c r="H1723" s="28" t="s">
        <v>809</v>
      </c>
      <c r="K1723" s="28" t="s">
        <v>883</v>
      </c>
      <c r="N1723" s="28" t="s">
        <v>212</v>
      </c>
      <c r="Q1723" s="28" t="s">
        <v>273</v>
      </c>
    </row>
    <row r="1724" spans="8:17" x14ac:dyDescent="0.25">
      <c r="H1724" s="28" t="s">
        <v>813</v>
      </c>
      <c r="J1724" s="28" t="s">
        <v>810</v>
      </c>
      <c r="N1724" s="28" t="s">
        <v>420</v>
      </c>
      <c r="Q1724" s="28" t="s">
        <v>274</v>
      </c>
    </row>
    <row r="1725" spans="8:17" x14ac:dyDescent="0.25">
      <c r="H1725" s="28" t="s">
        <v>811</v>
      </c>
      <c r="K1725" s="28" t="s">
        <v>884</v>
      </c>
      <c r="N1725" s="28" t="s">
        <v>160</v>
      </c>
      <c r="Q1725" s="28" t="s">
        <v>266</v>
      </c>
    </row>
    <row r="1726" spans="8:17" x14ac:dyDescent="0.25">
      <c r="H1726" s="28" t="s">
        <v>814</v>
      </c>
      <c r="J1726" s="28" t="s">
        <v>811</v>
      </c>
      <c r="Q1726" s="28" t="s">
        <v>275</v>
      </c>
    </row>
    <row r="1727" spans="8:17" x14ac:dyDescent="0.25">
      <c r="H1727" s="28" t="s">
        <v>815</v>
      </c>
      <c r="J1727" s="28" t="s">
        <v>820</v>
      </c>
      <c r="K1727" s="28" t="s">
        <v>885</v>
      </c>
      <c r="N1727" s="28" t="s">
        <v>1269</v>
      </c>
    </row>
    <row r="1728" spans="8:17" x14ac:dyDescent="0.25">
      <c r="H1728" s="28" t="s">
        <v>809</v>
      </c>
      <c r="J1728" s="28" t="s">
        <v>821</v>
      </c>
      <c r="Q1728" s="28" t="s">
        <v>1371</v>
      </c>
    </row>
    <row r="1729" spans="8:17" x14ac:dyDescent="0.25">
      <c r="H1729" s="28" t="s">
        <v>816</v>
      </c>
      <c r="K1729" s="28" t="s">
        <v>687</v>
      </c>
      <c r="N1729" s="28" t="s">
        <v>1269</v>
      </c>
      <c r="Q1729" s="28" t="s">
        <v>194</v>
      </c>
    </row>
    <row r="1730" spans="8:17" x14ac:dyDescent="0.25">
      <c r="J1730" s="28" t="s">
        <v>811</v>
      </c>
      <c r="K1730" s="28" t="s">
        <v>1075</v>
      </c>
    </row>
    <row r="1731" spans="8:17" x14ac:dyDescent="0.25">
      <c r="H1731" s="28" t="s">
        <v>909</v>
      </c>
      <c r="J1731" s="28" t="s">
        <v>822</v>
      </c>
      <c r="N1731" s="28" t="s">
        <v>1270</v>
      </c>
      <c r="Q1731" s="28" t="s">
        <v>190</v>
      </c>
    </row>
    <row r="1732" spans="8:17" x14ac:dyDescent="0.25">
      <c r="H1732" s="28" t="s">
        <v>910</v>
      </c>
      <c r="J1732" s="28" t="s">
        <v>811</v>
      </c>
      <c r="K1732" s="28" t="s">
        <v>886</v>
      </c>
    </row>
    <row r="1733" spans="8:17" x14ac:dyDescent="0.25">
      <c r="N1733" s="28" t="s">
        <v>1181</v>
      </c>
      <c r="Q1733" s="28" t="s">
        <v>1377</v>
      </c>
    </row>
    <row r="1734" spans="8:17" x14ac:dyDescent="0.25">
      <c r="H1734" s="28" t="s">
        <v>810</v>
      </c>
      <c r="J1734" s="28" t="s">
        <v>911</v>
      </c>
      <c r="K1734" s="28" t="s">
        <v>205</v>
      </c>
      <c r="Q1734" s="28" t="s">
        <v>705</v>
      </c>
    </row>
    <row r="1735" spans="8:17" x14ac:dyDescent="0.25">
      <c r="N1735" s="28" t="s">
        <v>891</v>
      </c>
      <c r="Q1735" s="28" t="s">
        <v>1405</v>
      </c>
    </row>
    <row r="1736" spans="8:17" x14ac:dyDescent="0.25">
      <c r="H1736" s="28" t="s">
        <v>811</v>
      </c>
      <c r="J1736" s="28" t="s">
        <v>823</v>
      </c>
      <c r="K1736" s="28" t="s">
        <v>887</v>
      </c>
      <c r="N1736" s="28" t="s">
        <v>892</v>
      </c>
    </row>
    <row r="1737" spans="8:17" x14ac:dyDescent="0.25">
      <c r="H1737" s="28" t="s">
        <v>820</v>
      </c>
      <c r="J1737" s="28" t="s">
        <v>809</v>
      </c>
      <c r="K1737" s="28" t="s">
        <v>888</v>
      </c>
      <c r="Q1737" s="28" t="s">
        <v>1372</v>
      </c>
    </row>
    <row r="1738" spans="8:17" x14ac:dyDescent="0.25">
      <c r="H1738" s="28" t="s">
        <v>821</v>
      </c>
      <c r="J1738" s="28" t="s">
        <v>826</v>
      </c>
      <c r="K1738" s="28" t="s">
        <v>716</v>
      </c>
      <c r="N1738" s="28" t="s">
        <v>779</v>
      </c>
    </row>
    <row r="1739" spans="8:17" x14ac:dyDescent="0.25">
      <c r="N1739" s="28" t="s">
        <v>778</v>
      </c>
      <c r="Q1739" s="28" t="s">
        <v>885</v>
      </c>
    </row>
    <row r="1740" spans="8:17" x14ac:dyDescent="0.25">
      <c r="H1740" s="28" t="s">
        <v>811</v>
      </c>
      <c r="J1740" s="28" t="s">
        <v>827</v>
      </c>
      <c r="K1740" s="28" t="s">
        <v>889</v>
      </c>
    </row>
    <row r="1741" spans="8:17" x14ac:dyDescent="0.25">
      <c r="H1741" s="28" t="s">
        <v>822</v>
      </c>
      <c r="J1741" s="28" t="s">
        <v>823</v>
      </c>
      <c r="K1741" s="28" t="s">
        <v>716</v>
      </c>
      <c r="N1741" s="28" t="s">
        <v>1271</v>
      </c>
      <c r="Q1741" s="28" t="s">
        <v>1373</v>
      </c>
    </row>
    <row r="1742" spans="8:17" x14ac:dyDescent="0.25">
      <c r="H1742" s="28" t="s">
        <v>811</v>
      </c>
      <c r="J1742" s="28" t="s">
        <v>809</v>
      </c>
    </row>
    <row r="1743" spans="8:17" x14ac:dyDescent="0.25">
      <c r="K1743" s="28" t="s">
        <v>722</v>
      </c>
      <c r="N1743" s="28" t="s">
        <v>785</v>
      </c>
      <c r="Q1743" s="28" t="s">
        <v>687</v>
      </c>
    </row>
    <row r="1744" spans="8:17" x14ac:dyDescent="0.25">
      <c r="H1744" s="28" t="s">
        <v>911</v>
      </c>
      <c r="J1744" s="28" t="s">
        <v>912</v>
      </c>
      <c r="Q1744" s="28" t="s">
        <v>1438</v>
      </c>
    </row>
    <row r="1745" spans="8:17" x14ac:dyDescent="0.25">
      <c r="K1745" s="28" t="s">
        <v>160</v>
      </c>
      <c r="N1745" s="28" t="s">
        <v>894</v>
      </c>
    </row>
    <row r="1746" spans="8:17" x14ac:dyDescent="0.25">
      <c r="H1746" s="28" t="s">
        <v>823</v>
      </c>
      <c r="J1746" s="28" t="s">
        <v>810</v>
      </c>
      <c r="Q1746" s="28" t="s">
        <v>1374</v>
      </c>
    </row>
    <row r="1747" spans="8:17" x14ac:dyDescent="0.25">
      <c r="H1747" s="28" t="s">
        <v>809</v>
      </c>
      <c r="J1747" s="28" t="s">
        <v>818</v>
      </c>
      <c r="K1747" s="28" t="s">
        <v>982</v>
      </c>
      <c r="N1747" s="28" t="s">
        <v>895</v>
      </c>
      <c r="Q1747" s="28" t="s">
        <v>882</v>
      </c>
    </row>
    <row r="1748" spans="8:17" x14ac:dyDescent="0.25">
      <c r="H1748" s="28" t="s">
        <v>826</v>
      </c>
      <c r="K1748" s="28" t="s">
        <v>927</v>
      </c>
    </row>
    <row r="1749" spans="8:17" x14ac:dyDescent="0.25">
      <c r="J1749" s="28" t="s">
        <v>265</v>
      </c>
      <c r="N1749" s="28" t="s">
        <v>896</v>
      </c>
      <c r="Q1749" s="28" t="s">
        <v>1441</v>
      </c>
    </row>
    <row r="1750" spans="8:17" x14ac:dyDescent="0.25">
      <c r="H1750" s="28" t="s">
        <v>827</v>
      </c>
      <c r="J1750" s="28" t="s">
        <v>266</v>
      </c>
      <c r="K1750" s="28" t="s">
        <v>243</v>
      </c>
    </row>
    <row r="1751" spans="8:17" x14ac:dyDescent="0.25">
      <c r="H1751" s="28" t="s">
        <v>823</v>
      </c>
      <c r="J1751" s="28" t="s">
        <v>267</v>
      </c>
      <c r="N1751" s="28" t="s">
        <v>897</v>
      </c>
      <c r="Q1751" s="28" t="s">
        <v>205</v>
      </c>
    </row>
    <row r="1752" spans="8:17" x14ac:dyDescent="0.25">
      <c r="H1752" s="28" t="s">
        <v>809</v>
      </c>
      <c r="J1752" s="28" t="s">
        <v>268</v>
      </c>
      <c r="K1752" s="28" t="s">
        <v>244</v>
      </c>
    </row>
    <row r="1753" spans="8:17" x14ac:dyDescent="0.25">
      <c r="N1753" s="28" t="s">
        <v>898</v>
      </c>
      <c r="Q1753" s="28" t="s">
        <v>160</v>
      </c>
    </row>
    <row r="1754" spans="8:17" x14ac:dyDescent="0.25">
      <c r="H1754" s="28" t="s">
        <v>912</v>
      </c>
      <c r="J1754" s="28" t="s">
        <v>269</v>
      </c>
      <c r="K1754" s="28" t="s">
        <v>722</v>
      </c>
    </row>
    <row r="1755" spans="8:17" x14ac:dyDescent="0.25">
      <c r="J1755" s="28" t="s">
        <v>270</v>
      </c>
      <c r="N1755" s="28" t="s">
        <v>899</v>
      </c>
      <c r="Q1755" s="28" t="s">
        <v>1375</v>
      </c>
    </row>
    <row r="1756" spans="8:17" x14ac:dyDescent="0.25">
      <c r="H1756" s="28" t="s">
        <v>810</v>
      </c>
      <c r="J1756" s="28" t="s">
        <v>268</v>
      </c>
      <c r="K1756" s="28" t="s">
        <v>809</v>
      </c>
      <c r="Q1756" s="28" t="s">
        <v>1376</v>
      </c>
    </row>
    <row r="1757" spans="8:17" x14ac:dyDescent="0.25">
      <c r="H1757" s="28" t="s">
        <v>818</v>
      </c>
      <c r="J1757" s="28" t="s">
        <v>267</v>
      </c>
      <c r="K1757" s="28" t="s">
        <v>810</v>
      </c>
      <c r="N1757" s="28" t="s">
        <v>900</v>
      </c>
    </row>
    <row r="1758" spans="8:17" x14ac:dyDescent="0.25">
      <c r="J1758" s="28" t="s">
        <v>269</v>
      </c>
      <c r="K1758" s="28" t="s">
        <v>811</v>
      </c>
      <c r="Q1758" s="28" t="s">
        <v>689</v>
      </c>
    </row>
    <row r="1759" spans="8:17" x14ac:dyDescent="0.25">
      <c r="H1759" s="28" t="s">
        <v>265</v>
      </c>
      <c r="J1759" s="28" t="s">
        <v>265</v>
      </c>
      <c r="K1759" s="28" t="s">
        <v>812</v>
      </c>
      <c r="N1759" s="28" t="s">
        <v>901</v>
      </c>
    </row>
    <row r="1760" spans="8:17" x14ac:dyDescent="0.25">
      <c r="H1760" s="28" t="s">
        <v>266</v>
      </c>
      <c r="J1760" s="28" t="s">
        <v>254</v>
      </c>
      <c r="K1760" s="28" t="s">
        <v>809</v>
      </c>
      <c r="Q1760" s="28" t="s">
        <v>1437</v>
      </c>
    </row>
    <row r="1761" spans="8:17" x14ac:dyDescent="0.25">
      <c r="H1761" s="28" t="s">
        <v>267</v>
      </c>
      <c r="K1761" s="28" t="s">
        <v>813</v>
      </c>
      <c r="N1761" s="28" t="s">
        <v>902</v>
      </c>
    </row>
    <row r="1762" spans="8:17" x14ac:dyDescent="0.25">
      <c r="H1762" s="28" t="s">
        <v>268</v>
      </c>
      <c r="J1762" s="28" t="s">
        <v>271</v>
      </c>
      <c r="K1762" s="28" t="s">
        <v>811</v>
      </c>
      <c r="Q1762" s="28" t="s">
        <v>1437</v>
      </c>
    </row>
    <row r="1763" spans="8:17" x14ac:dyDescent="0.25">
      <c r="K1763" s="28" t="s">
        <v>814</v>
      </c>
      <c r="N1763" s="28" t="s">
        <v>903</v>
      </c>
    </row>
    <row r="1764" spans="8:17" x14ac:dyDescent="0.25">
      <c r="H1764" s="28" t="s">
        <v>269</v>
      </c>
      <c r="J1764" s="28" t="s">
        <v>273</v>
      </c>
      <c r="K1764" s="28" t="s">
        <v>815</v>
      </c>
      <c r="Q1764" s="28" t="s">
        <v>1006</v>
      </c>
    </row>
    <row r="1765" spans="8:17" x14ac:dyDescent="0.25">
      <c r="H1765" s="28" t="s">
        <v>270</v>
      </c>
      <c r="J1765" s="28" t="s">
        <v>274</v>
      </c>
      <c r="K1765" s="28" t="s">
        <v>809</v>
      </c>
      <c r="N1765" s="28" t="s">
        <v>1242</v>
      </c>
      <c r="Q1765" s="28" t="s">
        <v>1462</v>
      </c>
    </row>
    <row r="1766" spans="8:17" x14ac:dyDescent="0.25">
      <c r="H1766" s="28" t="s">
        <v>268</v>
      </c>
      <c r="J1766" s="28" t="s">
        <v>266</v>
      </c>
      <c r="K1766" s="28" t="s">
        <v>816</v>
      </c>
    </row>
    <row r="1767" spans="8:17" x14ac:dyDescent="0.25">
      <c r="H1767" s="28" t="s">
        <v>267</v>
      </c>
      <c r="J1767" s="28" t="s">
        <v>275</v>
      </c>
      <c r="N1767" s="28" t="s">
        <v>77</v>
      </c>
      <c r="Q1767" s="28" t="s">
        <v>244</v>
      </c>
    </row>
    <row r="1768" spans="8:17" x14ac:dyDescent="0.25">
      <c r="H1768" s="28" t="s">
        <v>269</v>
      </c>
      <c r="K1768" s="28" t="s">
        <v>909</v>
      </c>
      <c r="Q1768" s="28" t="s">
        <v>160</v>
      </c>
    </row>
    <row r="1769" spans="8:17" x14ac:dyDescent="0.25">
      <c r="H1769" s="28" t="s">
        <v>265</v>
      </c>
      <c r="J1769" s="28" t="s">
        <v>891</v>
      </c>
      <c r="K1769" s="28" t="s">
        <v>910</v>
      </c>
      <c r="N1769" s="28" t="s">
        <v>972</v>
      </c>
    </row>
    <row r="1770" spans="8:17" x14ac:dyDescent="0.25">
      <c r="H1770" s="28" t="s">
        <v>254</v>
      </c>
      <c r="J1770" s="28" t="s">
        <v>892</v>
      </c>
      <c r="Q1770" s="28" t="s">
        <v>243</v>
      </c>
    </row>
    <row r="1771" spans="8:17" x14ac:dyDescent="0.25">
      <c r="K1771" s="28" t="s">
        <v>810</v>
      </c>
      <c r="N1771" s="28" t="s">
        <v>905</v>
      </c>
      <c r="Q1771" s="28" t="s">
        <v>244</v>
      </c>
    </row>
    <row r="1772" spans="8:17" x14ac:dyDescent="0.25">
      <c r="H1772" s="28" t="s">
        <v>271</v>
      </c>
      <c r="J1772" s="28" t="s">
        <v>779</v>
      </c>
      <c r="N1772" s="28" t="s">
        <v>1187</v>
      </c>
      <c r="Q1772" s="28" t="s">
        <v>244</v>
      </c>
    </row>
    <row r="1773" spans="8:17" x14ac:dyDescent="0.25">
      <c r="J1773" s="28" t="s">
        <v>778</v>
      </c>
      <c r="K1773" s="28" t="s">
        <v>811</v>
      </c>
    </row>
    <row r="1774" spans="8:17" x14ac:dyDescent="0.25">
      <c r="H1774" s="28" t="s">
        <v>273</v>
      </c>
      <c r="K1774" s="28" t="s">
        <v>820</v>
      </c>
      <c r="N1774" s="28" t="s">
        <v>326</v>
      </c>
      <c r="Q1774" s="28" t="s">
        <v>160</v>
      </c>
    </row>
    <row r="1775" spans="8:17" x14ac:dyDescent="0.25">
      <c r="H1775" s="28" t="s">
        <v>274</v>
      </c>
      <c r="J1775" s="28" t="s">
        <v>1050</v>
      </c>
      <c r="K1775" s="28" t="s">
        <v>821</v>
      </c>
      <c r="N1775" s="28" t="s">
        <v>899</v>
      </c>
    </row>
    <row r="1776" spans="8:17" x14ac:dyDescent="0.25">
      <c r="H1776" s="28" t="s">
        <v>266</v>
      </c>
      <c r="Q1776" s="28" t="s">
        <v>243</v>
      </c>
    </row>
    <row r="1777" spans="8:17" x14ac:dyDescent="0.25">
      <c r="H1777" s="28" t="s">
        <v>275</v>
      </c>
      <c r="J1777" s="28" t="s">
        <v>785</v>
      </c>
      <c r="K1777" s="28" t="s">
        <v>811</v>
      </c>
      <c r="N1777" s="28" t="s">
        <v>82</v>
      </c>
      <c r="Q1777" s="28" t="s">
        <v>212</v>
      </c>
    </row>
    <row r="1778" spans="8:17" x14ac:dyDescent="0.25">
      <c r="K1778" s="28" t="s">
        <v>822</v>
      </c>
    </row>
    <row r="1779" spans="8:17" x14ac:dyDescent="0.25">
      <c r="H1779" s="28" t="s">
        <v>891</v>
      </c>
      <c r="J1779" s="28" t="s">
        <v>894</v>
      </c>
      <c r="K1779" s="28" t="s">
        <v>811</v>
      </c>
      <c r="N1779" s="28" t="s">
        <v>906</v>
      </c>
      <c r="Q1779" s="28" t="s">
        <v>160</v>
      </c>
    </row>
    <row r="1780" spans="8:17" x14ac:dyDescent="0.25">
      <c r="H1780" s="28" t="s">
        <v>892</v>
      </c>
      <c r="N1780" s="28" t="s">
        <v>907</v>
      </c>
    </row>
    <row r="1781" spans="8:17" x14ac:dyDescent="0.25">
      <c r="J1781" s="28" t="s">
        <v>895</v>
      </c>
      <c r="K1781" s="28" t="s">
        <v>911</v>
      </c>
      <c r="Q1781" s="28" t="s">
        <v>419</v>
      </c>
    </row>
    <row r="1782" spans="8:17" x14ac:dyDescent="0.25">
      <c r="H1782" s="28" t="s">
        <v>779</v>
      </c>
      <c r="N1782" s="28" t="s">
        <v>243</v>
      </c>
      <c r="Q1782" s="28" t="s">
        <v>212</v>
      </c>
    </row>
    <row r="1783" spans="8:17" x14ac:dyDescent="0.25">
      <c r="H1783" s="28" t="s">
        <v>778</v>
      </c>
      <c r="J1783" s="28" t="s">
        <v>896</v>
      </c>
      <c r="K1783" s="28" t="s">
        <v>823</v>
      </c>
    </row>
    <row r="1784" spans="8:17" x14ac:dyDescent="0.25">
      <c r="K1784" s="28" t="s">
        <v>809</v>
      </c>
      <c r="N1784" s="28" t="s">
        <v>908</v>
      </c>
      <c r="Q1784" s="28" t="s">
        <v>1267</v>
      </c>
    </row>
    <row r="1785" spans="8:17" x14ac:dyDescent="0.25">
      <c r="H1785" s="28" t="s">
        <v>942</v>
      </c>
      <c r="J1785" s="28" t="s">
        <v>897</v>
      </c>
      <c r="K1785" s="28" t="s">
        <v>826</v>
      </c>
      <c r="Q1785" s="28" t="s">
        <v>212</v>
      </c>
    </row>
    <row r="1786" spans="8:17" x14ac:dyDescent="0.25">
      <c r="N1786" s="28" t="s">
        <v>1272</v>
      </c>
    </row>
    <row r="1787" spans="8:17" x14ac:dyDescent="0.25">
      <c r="H1787" s="28" t="s">
        <v>785</v>
      </c>
      <c r="J1787" s="28" t="s">
        <v>898</v>
      </c>
      <c r="K1787" s="28" t="s">
        <v>827</v>
      </c>
      <c r="Q1787" s="28" t="s">
        <v>419</v>
      </c>
    </row>
    <row r="1788" spans="8:17" x14ac:dyDescent="0.25">
      <c r="K1788" s="28" t="s">
        <v>823</v>
      </c>
      <c r="N1788" s="28" t="s">
        <v>502</v>
      </c>
    </row>
    <row r="1789" spans="8:17" x14ac:dyDescent="0.25">
      <c r="H1789" s="28" t="s">
        <v>894</v>
      </c>
      <c r="J1789" s="28" t="s">
        <v>899</v>
      </c>
      <c r="K1789" s="28" t="s">
        <v>809</v>
      </c>
      <c r="Q1789" s="28" t="s">
        <v>435</v>
      </c>
    </row>
    <row r="1790" spans="8:17" x14ac:dyDescent="0.25">
      <c r="N1790" s="28" t="s">
        <v>243</v>
      </c>
    </row>
    <row r="1791" spans="8:17" x14ac:dyDescent="0.25">
      <c r="H1791" s="28" t="s">
        <v>895</v>
      </c>
      <c r="J1791" s="28" t="s">
        <v>900</v>
      </c>
      <c r="K1791" s="28" t="s">
        <v>912</v>
      </c>
      <c r="N1791" s="28" t="s">
        <v>545</v>
      </c>
      <c r="Q1791" s="28" t="s">
        <v>990</v>
      </c>
    </row>
    <row r="1792" spans="8:17" x14ac:dyDescent="0.25">
      <c r="N1792" s="28" t="s">
        <v>160</v>
      </c>
    </row>
    <row r="1793" spans="8:17" x14ac:dyDescent="0.25">
      <c r="H1793" s="28" t="s">
        <v>896</v>
      </c>
      <c r="J1793" s="28" t="s">
        <v>901</v>
      </c>
      <c r="K1793" s="28" t="s">
        <v>810</v>
      </c>
      <c r="Q1793" s="28" t="s">
        <v>1463</v>
      </c>
    </row>
    <row r="1794" spans="8:17" x14ac:dyDescent="0.25">
      <c r="K1794" s="28" t="s">
        <v>818</v>
      </c>
      <c r="N1794" s="28" t="s">
        <v>160</v>
      </c>
    </row>
    <row r="1795" spans="8:17" x14ac:dyDescent="0.25">
      <c r="H1795" s="28" t="s">
        <v>897</v>
      </c>
      <c r="J1795" s="28" t="s">
        <v>902</v>
      </c>
      <c r="Q1795" s="28" t="s">
        <v>676</v>
      </c>
    </row>
    <row r="1796" spans="8:17" x14ac:dyDescent="0.25">
      <c r="K1796" s="28" t="s">
        <v>265</v>
      </c>
      <c r="N1796" s="28" t="s">
        <v>676</v>
      </c>
      <c r="Q1796" s="28" t="s">
        <v>241</v>
      </c>
    </row>
    <row r="1797" spans="8:17" x14ac:dyDescent="0.25">
      <c r="H1797" s="28" t="s">
        <v>898</v>
      </c>
      <c r="J1797" s="28" t="s">
        <v>903</v>
      </c>
      <c r="K1797" s="28" t="s">
        <v>266</v>
      </c>
      <c r="N1797" s="28" t="s">
        <v>1006</v>
      </c>
    </row>
    <row r="1798" spans="8:17" x14ac:dyDescent="0.25">
      <c r="K1798" s="28" t="s">
        <v>267</v>
      </c>
      <c r="Q1798" s="28" t="s">
        <v>243</v>
      </c>
    </row>
    <row r="1799" spans="8:17" x14ac:dyDescent="0.25">
      <c r="H1799" s="28" t="s">
        <v>899</v>
      </c>
      <c r="J1799" s="28" t="s">
        <v>77</v>
      </c>
      <c r="K1799" s="28" t="s">
        <v>268</v>
      </c>
      <c r="N1799" s="28" t="s">
        <v>212</v>
      </c>
    </row>
    <row r="1800" spans="8:17" x14ac:dyDescent="0.25">
      <c r="N1800" s="28" t="s">
        <v>420</v>
      </c>
      <c r="Q1800" s="28" t="s">
        <v>1464</v>
      </c>
    </row>
    <row r="1801" spans="8:17" x14ac:dyDescent="0.25">
      <c r="H1801" s="28" t="s">
        <v>900</v>
      </c>
      <c r="J1801" s="28" t="s">
        <v>904</v>
      </c>
      <c r="K1801" s="28" t="s">
        <v>269</v>
      </c>
      <c r="N1801" s="28" t="s">
        <v>160</v>
      </c>
    </row>
    <row r="1802" spans="8:17" x14ac:dyDescent="0.25">
      <c r="K1802" s="28" t="s">
        <v>270</v>
      </c>
      <c r="Q1802" s="28" t="s">
        <v>284</v>
      </c>
    </row>
    <row r="1803" spans="8:17" x14ac:dyDescent="0.25">
      <c r="H1803" s="28" t="s">
        <v>901</v>
      </c>
      <c r="J1803" s="28" t="s">
        <v>780</v>
      </c>
      <c r="K1803" s="28" t="s">
        <v>268</v>
      </c>
      <c r="N1803" s="28" t="s">
        <v>1264</v>
      </c>
    </row>
    <row r="1804" spans="8:17" x14ac:dyDescent="0.25">
      <c r="K1804" s="28" t="s">
        <v>267</v>
      </c>
      <c r="Q1804" s="28" t="s">
        <v>891</v>
      </c>
    </row>
    <row r="1805" spans="8:17" x14ac:dyDescent="0.25">
      <c r="H1805" s="28" t="s">
        <v>902</v>
      </c>
      <c r="J1805" s="28" t="s">
        <v>905</v>
      </c>
      <c r="K1805" s="28" t="s">
        <v>269</v>
      </c>
      <c r="N1805" s="28" t="s">
        <v>1265</v>
      </c>
      <c r="Q1805" s="28" t="s">
        <v>892</v>
      </c>
    </row>
    <row r="1806" spans="8:17" x14ac:dyDescent="0.25">
      <c r="J1806" s="28" t="s">
        <v>1017</v>
      </c>
      <c r="K1806" s="28" t="s">
        <v>265</v>
      </c>
    </row>
    <row r="1807" spans="8:17" x14ac:dyDescent="0.25">
      <c r="H1807" s="28" t="s">
        <v>903</v>
      </c>
      <c r="K1807" s="28" t="s">
        <v>254</v>
      </c>
      <c r="N1807" s="28" t="s">
        <v>1266</v>
      </c>
      <c r="Q1807" s="28" t="s">
        <v>779</v>
      </c>
    </row>
    <row r="1808" spans="8:17" x14ac:dyDescent="0.25">
      <c r="J1808" s="28" t="s">
        <v>326</v>
      </c>
      <c r="Q1808" s="28" t="s">
        <v>778</v>
      </c>
    </row>
    <row r="1809" spans="8:17" x14ac:dyDescent="0.25">
      <c r="H1809" s="28" t="s">
        <v>77</v>
      </c>
      <c r="J1809" s="28" t="s">
        <v>899</v>
      </c>
      <c r="K1809" s="28" t="s">
        <v>271</v>
      </c>
      <c r="N1809" s="28" t="s">
        <v>1267</v>
      </c>
    </row>
    <row r="1810" spans="8:17" x14ac:dyDescent="0.25">
      <c r="N1810" s="28" t="s">
        <v>212</v>
      </c>
      <c r="Q1810" s="28" t="s">
        <v>1467</v>
      </c>
    </row>
    <row r="1811" spans="8:17" x14ac:dyDescent="0.25">
      <c r="H1811" s="28" t="s">
        <v>904</v>
      </c>
      <c r="J1811" s="28" t="s">
        <v>73</v>
      </c>
      <c r="K1811" s="28" t="s">
        <v>273</v>
      </c>
    </row>
    <row r="1812" spans="8:17" x14ac:dyDescent="0.25">
      <c r="K1812" s="28" t="s">
        <v>274</v>
      </c>
      <c r="N1812" s="28" t="s">
        <v>285</v>
      </c>
      <c r="Q1812" s="28" t="s">
        <v>77</v>
      </c>
    </row>
    <row r="1813" spans="8:17" x14ac:dyDescent="0.25">
      <c r="H1813" s="28" t="s">
        <v>780</v>
      </c>
      <c r="J1813" s="28" t="s">
        <v>906</v>
      </c>
      <c r="K1813" s="28" t="s">
        <v>266</v>
      </c>
    </row>
    <row r="1814" spans="8:17" x14ac:dyDescent="0.25">
      <c r="J1814" s="28" t="s">
        <v>907</v>
      </c>
      <c r="K1814" s="28" t="s">
        <v>275</v>
      </c>
      <c r="N1814" s="28" t="s">
        <v>1265</v>
      </c>
      <c r="Q1814" s="28" t="s">
        <v>1459</v>
      </c>
    </row>
    <row r="1815" spans="8:17" x14ac:dyDescent="0.25">
      <c r="H1815" s="28" t="s">
        <v>905</v>
      </c>
    </row>
    <row r="1816" spans="8:17" x14ac:dyDescent="0.25">
      <c r="H1816" s="28" t="s">
        <v>758</v>
      </c>
      <c r="J1816" s="28" t="s">
        <v>424</v>
      </c>
      <c r="K1816" s="28" t="s">
        <v>891</v>
      </c>
      <c r="N1816" s="28" t="s">
        <v>1268</v>
      </c>
      <c r="Q1816" s="28" t="s">
        <v>786</v>
      </c>
    </row>
    <row r="1817" spans="8:17" x14ac:dyDescent="0.25">
      <c r="K1817" s="28" t="s">
        <v>892</v>
      </c>
    </row>
    <row r="1818" spans="8:17" x14ac:dyDescent="0.25">
      <c r="H1818" s="28" t="s">
        <v>326</v>
      </c>
      <c r="J1818" s="28" t="s">
        <v>908</v>
      </c>
      <c r="N1818" s="28" t="s">
        <v>1268</v>
      </c>
      <c r="Q1818" s="28" t="s">
        <v>1383</v>
      </c>
    </row>
    <row r="1819" spans="8:17" x14ac:dyDescent="0.25">
      <c r="H1819" s="28" t="s">
        <v>899</v>
      </c>
      <c r="K1819" s="28" t="s">
        <v>779</v>
      </c>
      <c r="Q1819" s="28" t="s">
        <v>1445</v>
      </c>
    </row>
    <row r="1820" spans="8:17" x14ac:dyDescent="0.25">
      <c r="J1820" s="28" t="s">
        <v>365</v>
      </c>
      <c r="K1820" s="28" t="s">
        <v>778</v>
      </c>
      <c r="N1820" s="28" t="s">
        <v>809</v>
      </c>
    </row>
    <row r="1821" spans="8:17" x14ac:dyDescent="0.25">
      <c r="H1821" s="28" t="s">
        <v>73</v>
      </c>
      <c r="N1821" s="28" t="s">
        <v>810</v>
      </c>
      <c r="Q1821" s="28" t="s">
        <v>326</v>
      </c>
    </row>
    <row r="1822" spans="8:17" x14ac:dyDescent="0.25">
      <c r="K1822" s="28" t="s">
        <v>1115</v>
      </c>
      <c r="N1822" s="28" t="s">
        <v>811</v>
      </c>
      <c r="Q1822" s="28" t="s">
        <v>327</v>
      </c>
    </row>
    <row r="1823" spans="8:17" x14ac:dyDescent="0.25">
      <c r="H1823" s="28" t="s">
        <v>906</v>
      </c>
      <c r="N1823" s="28" t="s">
        <v>812</v>
      </c>
    </row>
    <row r="1824" spans="8:17" x14ac:dyDescent="0.25">
      <c r="H1824" s="28" t="s">
        <v>907</v>
      </c>
      <c r="K1824" s="28" t="s">
        <v>785</v>
      </c>
      <c r="N1824" s="28" t="s">
        <v>809</v>
      </c>
      <c r="Q1824" s="28" t="s">
        <v>73</v>
      </c>
    </row>
    <row r="1825" spans="8:17" x14ac:dyDescent="0.25">
      <c r="N1825" s="28" t="s">
        <v>813</v>
      </c>
    </row>
    <row r="1826" spans="8:17" x14ac:dyDescent="0.25">
      <c r="H1826" s="28" t="s">
        <v>424</v>
      </c>
      <c r="K1826" s="28" t="s">
        <v>894</v>
      </c>
      <c r="N1826" s="28" t="s">
        <v>811</v>
      </c>
      <c r="Q1826" s="28" t="s">
        <v>906</v>
      </c>
    </row>
    <row r="1827" spans="8:17" x14ac:dyDescent="0.25">
      <c r="N1827" s="28" t="s">
        <v>814</v>
      </c>
      <c r="Q1827" s="28" t="s">
        <v>350</v>
      </c>
    </row>
    <row r="1828" spans="8:17" x14ac:dyDescent="0.25">
      <c r="H1828" s="28" t="s">
        <v>933</v>
      </c>
      <c r="K1828" s="28" t="s">
        <v>895</v>
      </c>
      <c r="N1828" s="28" t="s">
        <v>815</v>
      </c>
    </row>
    <row r="1829" spans="8:17" x14ac:dyDescent="0.25">
      <c r="N1829" s="28" t="s">
        <v>809</v>
      </c>
      <c r="Q1829" s="28" t="s">
        <v>420</v>
      </c>
    </row>
    <row r="1830" spans="8:17" x14ac:dyDescent="0.25">
      <c r="H1830" s="28" t="s">
        <v>878</v>
      </c>
      <c r="K1830" s="28" t="s">
        <v>896</v>
      </c>
      <c r="N1830" s="28" t="s">
        <v>816</v>
      </c>
    </row>
    <row r="1831" spans="8:17" x14ac:dyDescent="0.25">
      <c r="H1831" s="28" t="s">
        <v>705</v>
      </c>
      <c r="Q1831" s="28" t="s">
        <v>1384</v>
      </c>
    </row>
    <row r="1832" spans="8:17" x14ac:dyDescent="0.25">
      <c r="H1832" s="28" t="s">
        <v>669</v>
      </c>
      <c r="K1832" s="28" t="s">
        <v>897</v>
      </c>
      <c r="N1832" s="28" t="s">
        <v>909</v>
      </c>
    </row>
    <row r="1833" spans="8:17" x14ac:dyDescent="0.25">
      <c r="N1833" s="28" t="s">
        <v>910</v>
      </c>
      <c r="Q1833" s="28" t="s">
        <v>1385</v>
      </c>
    </row>
    <row r="1834" spans="8:17" x14ac:dyDescent="0.25">
      <c r="H1834" s="28" t="s">
        <v>914</v>
      </c>
      <c r="K1834" s="28" t="s">
        <v>898</v>
      </c>
    </row>
    <row r="1835" spans="8:17" x14ac:dyDescent="0.25">
      <c r="N1835" s="28" t="s">
        <v>810</v>
      </c>
      <c r="Q1835" s="28" t="s">
        <v>1386</v>
      </c>
    </row>
    <row r="1836" spans="8:17" x14ac:dyDescent="0.25">
      <c r="H1836" s="28" t="s">
        <v>880</v>
      </c>
      <c r="K1836" s="28" t="s">
        <v>899</v>
      </c>
    </row>
    <row r="1837" spans="8:17" x14ac:dyDescent="0.25">
      <c r="H1837" s="28" t="s">
        <v>881</v>
      </c>
      <c r="N1837" s="28" t="s">
        <v>811</v>
      </c>
      <c r="Q1837" s="28" t="s">
        <v>245</v>
      </c>
    </row>
    <row r="1838" spans="8:17" x14ac:dyDescent="0.25">
      <c r="H1838" s="28" t="s">
        <v>882</v>
      </c>
      <c r="K1838" s="28" t="s">
        <v>900</v>
      </c>
      <c r="N1838" s="28" t="s">
        <v>820</v>
      </c>
      <c r="Q1838" s="28" t="s">
        <v>246</v>
      </c>
    </row>
    <row r="1839" spans="8:17" x14ac:dyDescent="0.25">
      <c r="N1839" s="28" t="s">
        <v>821</v>
      </c>
      <c r="Q1839" s="28" t="s">
        <v>247</v>
      </c>
    </row>
    <row r="1840" spans="8:17" x14ac:dyDescent="0.25">
      <c r="H1840" s="28" t="s">
        <v>883</v>
      </c>
      <c r="K1840" s="28" t="s">
        <v>901</v>
      </c>
      <c r="Q1840" s="28" t="s">
        <v>248</v>
      </c>
    </row>
    <row r="1841" spans="8:17" x14ac:dyDescent="0.25">
      <c r="N1841" s="28" t="s">
        <v>811</v>
      </c>
      <c r="Q1841" s="28" t="s">
        <v>245</v>
      </c>
    </row>
    <row r="1842" spans="8:17" x14ac:dyDescent="0.25">
      <c r="H1842" s="28" t="s">
        <v>884</v>
      </c>
      <c r="K1842" s="28" t="s">
        <v>902</v>
      </c>
      <c r="N1842" s="28" t="s">
        <v>822</v>
      </c>
      <c r="Q1842" s="28" t="s">
        <v>249</v>
      </c>
    </row>
    <row r="1843" spans="8:17" x14ac:dyDescent="0.25">
      <c r="N1843" s="28" t="s">
        <v>811</v>
      </c>
      <c r="Q1843" s="28" t="s">
        <v>247</v>
      </c>
    </row>
    <row r="1844" spans="8:17" x14ac:dyDescent="0.25">
      <c r="H1844" s="28" t="s">
        <v>885</v>
      </c>
      <c r="K1844" s="28" t="s">
        <v>903</v>
      </c>
      <c r="Q1844" s="28" t="s">
        <v>250</v>
      </c>
    </row>
    <row r="1845" spans="8:17" x14ac:dyDescent="0.25">
      <c r="N1845" s="28" t="s">
        <v>911</v>
      </c>
      <c r="Q1845" s="28" t="s">
        <v>251</v>
      </c>
    </row>
    <row r="1846" spans="8:17" x14ac:dyDescent="0.25">
      <c r="H1846" s="28" t="s">
        <v>687</v>
      </c>
      <c r="K1846" s="28" t="s">
        <v>1108</v>
      </c>
      <c r="Q1846" s="28" t="s">
        <v>245</v>
      </c>
    </row>
    <row r="1847" spans="8:17" x14ac:dyDescent="0.25">
      <c r="H1847" s="28" t="s">
        <v>713</v>
      </c>
      <c r="N1847" s="28" t="s">
        <v>823</v>
      </c>
      <c r="Q1847" s="28" t="s">
        <v>252</v>
      </c>
    </row>
    <row r="1848" spans="8:17" x14ac:dyDescent="0.25">
      <c r="K1848" s="28" t="s">
        <v>77</v>
      </c>
      <c r="N1848" s="28" t="s">
        <v>809</v>
      </c>
    </row>
    <row r="1849" spans="8:17" x14ac:dyDescent="0.25">
      <c r="H1849" s="28" t="s">
        <v>886</v>
      </c>
      <c r="N1849" s="28" t="s">
        <v>826</v>
      </c>
      <c r="Q1849" s="28" t="s">
        <v>253</v>
      </c>
    </row>
    <row r="1850" spans="8:17" x14ac:dyDescent="0.25">
      <c r="K1850" s="28" t="s">
        <v>972</v>
      </c>
    </row>
    <row r="1851" spans="8:17" x14ac:dyDescent="0.25">
      <c r="H1851" s="28" t="s">
        <v>205</v>
      </c>
      <c r="N1851" s="28" t="s">
        <v>827</v>
      </c>
      <c r="Q1851" s="28" t="s">
        <v>254</v>
      </c>
    </row>
    <row r="1852" spans="8:17" x14ac:dyDescent="0.25">
      <c r="K1852" s="28" t="s">
        <v>905</v>
      </c>
      <c r="N1852" s="28" t="s">
        <v>823</v>
      </c>
      <c r="Q1852" s="28" t="s">
        <v>255</v>
      </c>
    </row>
    <row r="1853" spans="8:17" x14ac:dyDescent="0.25">
      <c r="H1853" s="28" t="s">
        <v>887</v>
      </c>
      <c r="K1853" s="28" t="s">
        <v>1084</v>
      </c>
      <c r="N1853" s="28" t="s">
        <v>809</v>
      </c>
      <c r="Q1853" s="28" t="s">
        <v>248</v>
      </c>
    </row>
    <row r="1854" spans="8:17" x14ac:dyDescent="0.25">
      <c r="H1854" s="28" t="s">
        <v>888</v>
      </c>
      <c r="Q1854" s="28" t="s">
        <v>246</v>
      </c>
    </row>
    <row r="1855" spans="8:17" x14ac:dyDescent="0.25">
      <c r="H1855" s="28" t="s">
        <v>219</v>
      </c>
      <c r="K1855" s="28" t="s">
        <v>326</v>
      </c>
      <c r="N1855" s="28" t="s">
        <v>912</v>
      </c>
      <c r="Q1855" s="28" t="s">
        <v>256</v>
      </c>
    </row>
    <row r="1856" spans="8:17" x14ac:dyDescent="0.25">
      <c r="K1856" s="28" t="s">
        <v>899</v>
      </c>
    </row>
    <row r="1857" spans="8:17" x14ac:dyDescent="0.25">
      <c r="H1857" s="28" t="s">
        <v>889</v>
      </c>
      <c r="N1857" s="28" t="s">
        <v>810</v>
      </c>
      <c r="Q1857" s="28" t="s">
        <v>254</v>
      </c>
    </row>
    <row r="1858" spans="8:17" x14ac:dyDescent="0.25">
      <c r="K1858" s="28" t="s">
        <v>82</v>
      </c>
      <c r="N1858" s="28" t="s">
        <v>818</v>
      </c>
      <c r="Q1858" s="28" t="s">
        <v>255</v>
      </c>
    </row>
    <row r="1859" spans="8:17" x14ac:dyDescent="0.25">
      <c r="H1859" s="28" t="s">
        <v>219</v>
      </c>
    </row>
    <row r="1860" spans="8:17" x14ac:dyDescent="0.25">
      <c r="K1860" s="28" t="s">
        <v>906</v>
      </c>
      <c r="N1860" s="28" t="s">
        <v>265</v>
      </c>
      <c r="Q1860" s="28" t="s">
        <v>257</v>
      </c>
    </row>
    <row r="1861" spans="8:17" x14ac:dyDescent="0.25">
      <c r="H1861" s="28" t="s">
        <v>722</v>
      </c>
      <c r="K1861" s="28" t="s">
        <v>907</v>
      </c>
      <c r="N1861" s="28" t="s">
        <v>266</v>
      </c>
      <c r="Q1861" s="28" t="s">
        <v>247</v>
      </c>
    </row>
    <row r="1862" spans="8:17" x14ac:dyDescent="0.25">
      <c r="N1862" s="28" t="s">
        <v>267</v>
      </c>
      <c r="Q1862" s="28" t="s">
        <v>258</v>
      </c>
    </row>
    <row r="1863" spans="8:17" x14ac:dyDescent="0.25">
      <c r="H1863" s="28" t="s">
        <v>160</v>
      </c>
      <c r="K1863" s="28" t="s">
        <v>420</v>
      </c>
      <c r="N1863" s="28" t="s">
        <v>268</v>
      </c>
      <c r="Q1863" s="28" t="s">
        <v>259</v>
      </c>
    </row>
    <row r="1865" spans="8:17" x14ac:dyDescent="0.25">
      <c r="H1865" s="28" t="s">
        <v>420</v>
      </c>
      <c r="K1865" s="28" t="s">
        <v>908</v>
      </c>
      <c r="N1865" s="28" t="s">
        <v>269</v>
      </c>
      <c r="Q1865" s="28" t="s">
        <v>247</v>
      </c>
    </row>
    <row r="1866" spans="8:17" x14ac:dyDescent="0.25">
      <c r="N1866" s="28" t="s">
        <v>270</v>
      </c>
      <c r="Q1866" s="28" t="s">
        <v>260</v>
      </c>
    </row>
    <row r="1867" spans="8:17" x14ac:dyDescent="0.25">
      <c r="H1867" s="28" t="s">
        <v>244</v>
      </c>
      <c r="K1867" s="28" t="s">
        <v>878</v>
      </c>
      <c r="N1867" s="28" t="s">
        <v>268</v>
      </c>
      <c r="Q1867" s="28" t="s">
        <v>247</v>
      </c>
    </row>
    <row r="1868" spans="8:17" x14ac:dyDescent="0.25">
      <c r="H1868" s="28" t="s">
        <v>212</v>
      </c>
      <c r="K1868" s="28" t="s">
        <v>705</v>
      </c>
      <c r="N1868" s="28" t="s">
        <v>267</v>
      </c>
      <c r="Q1868" s="28" t="s">
        <v>261</v>
      </c>
    </row>
    <row r="1869" spans="8:17" x14ac:dyDescent="0.25">
      <c r="K1869" s="28" t="s">
        <v>1057</v>
      </c>
      <c r="N1869" s="28" t="s">
        <v>269</v>
      </c>
      <c r="Q1869" s="28" t="s">
        <v>254</v>
      </c>
    </row>
    <row r="1870" spans="8:17" x14ac:dyDescent="0.25">
      <c r="H1870" s="28" t="s">
        <v>241</v>
      </c>
      <c r="N1870" s="28" t="s">
        <v>265</v>
      </c>
    </row>
    <row r="1871" spans="8:17" x14ac:dyDescent="0.25">
      <c r="K1871" s="28" t="s">
        <v>914</v>
      </c>
      <c r="N1871" s="28" t="s">
        <v>254</v>
      </c>
      <c r="Q1871" s="28" t="s">
        <v>262</v>
      </c>
    </row>
    <row r="1872" spans="8:17" x14ac:dyDescent="0.25">
      <c r="H1872" s="28" t="s">
        <v>943</v>
      </c>
    </row>
    <row r="1873" spans="8:17" x14ac:dyDescent="0.25">
      <c r="K1873" s="28" t="s">
        <v>880</v>
      </c>
      <c r="N1873" s="28" t="s">
        <v>271</v>
      </c>
      <c r="Q1873" s="28" t="s">
        <v>254</v>
      </c>
    </row>
    <row r="1874" spans="8:17" x14ac:dyDescent="0.25">
      <c r="H1874" s="28" t="s">
        <v>722</v>
      </c>
      <c r="K1874" s="28" t="s">
        <v>881</v>
      </c>
      <c r="Q1874" s="28" t="s">
        <v>255</v>
      </c>
    </row>
    <row r="1875" spans="8:17" x14ac:dyDescent="0.25">
      <c r="K1875" s="28" t="s">
        <v>882</v>
      </c>
      <c r="N1875" s="28" t="s">
        <v>273</v>
      </c>
      <c r="Q1875" s="28" t="s">
        <v>263</v>
      </c>
    </row>
    <row r="1876" spans="8:17" x14ac:dyDescent="0.25">
      <c r="H1876" s="28" t="s">
        <v>419</v>
      </c>
      <c r="N1876" s="28" t="s">
        <v>274</v>
      </c>
      <c r="Q1876" s="28" t="s">
        <v>261</v>
      </c>
    </row>
    <row r="1877" spans="8:17" x14ac:dyDescent="0.25">
      <c r="H1877" s="28" t="s">
        <v>212</v>
      </c>
      <c r="K1877" s="28" t="s">
        <v>883</v>
      </c>
      <c r="N1877" s="28" t="s">
        <v>266</v>
      </c>
      <c r="Q1877" s="28" t="s">
        <v>245</v>
      </c>
    </row>
    <row r="1878" spans="8:17" x14ac:dyDescent="0.25">
      <c r="N1878" s="28" t="s">
        <v>275</v>
      </c>
      <c r="Q1878" s="28" t="s">
        <v>264</v>
      </c>
    </row>
    <row r="1879" spans="8:17" x14ac:dyDescent="0.25">
      <c r="H1879" s="28" t="s">
        <v>244</v>
      </c>
      <c r="K1879" s="28" t="s">
        <v>884</v>
      </c>
    </row>
    <row r="1880" spans="8:17" x14ac:dyDescent="0.25">
      <c r="N1880" s="28" t="s">
        <v>915</v>
      </c>
      <c r="Q1880" s="28" t="s">
        <v>255</v>
      </c>
    </row>
    <row r="1881" spans="8:17" x14ac:dyDescent="0.25">
      <c r="H1881" s="28" t="s">
        <v>809</v>
      </c>
      <c r="K1881" s="28" t="s">
        <v>885</v>
      </c>
      <c r="N1881" s="28" t="s">
        <v>705</v>
      </c>
    </row>
    <row r="1882" spans="8:17" x14ac:dyDescent="0.25">
      <c r="H1882" s="28" t="s">
        <v>810</v>
      </c>
      <c r="N1882" s="28" t="s">
        <v>1173</v>
      </c>
      <c r="Q1882" s="28" t="s">
        <v>250</v>
      </c>
    </row>
    <row r="1883" spans="8:17" x14ac:dyDescent="0.25">
      <c r="H1883" s="28" t="s">
        <v>811</v>
      </c>
      <c r="K1883" s="28" t="s">
        <v>687</v>
      </c>
      <c r="Q1883" s="28" t="s">
        <v>261</v>
      </c>
    </row>
    <row r="1884" spans="8:17" x14ac:dyDescent="0.25">
      <c r="H1884" s="28" t="s">
        <v>812</v>
      </c>
      <c r="K1884" s="28" t="s">
        <v>1075</v>
      </c>
      <c r="N1884" s="28" t="s">
        <v>879</v>
      </c>
      <c r="Q1884" s="28" t="s">
        <v>245</v>
      </c>
    </row>
    <row r="1885" spans="8:17" x14ac:dyDescent="0.25">
      <c r="H1885" s="28" t="s">
        <v>809</v>
      </c>
      <c r="Q1885" s="28" t="s">
        <v>263</v>
      </c>
    </row>
    <row r="1886" spans="8:17" x14ac:dyDescent="0.25">
      <c r="H1886" s="28" t="s">
        <v>813</v>
      </c>
      <c r="K1886" s="28" t="s">
        <v>886</v>
      </c>
      <c r="N1886" s="28" t="s">
        <v>880</v>
      </c>
      <c r="Q1886" s="28" t="s">
        <v>254</v>
      </c>
    </row>
    <row r="1887" spans="8:17" x14ac:dyDescent="0.25">
      <c r="H1887" s="28" t="s">
        <v>811</v>
      </c>
      <c r="N1887" s="28" t="s">
        <v>881</v>
      </c>
      <c r="Q1887" s="28" t="s">
        <v>253</v>
      </c>
    </row>
    <row r="1888" spans="8:17" x14ac:dyDescent="0.25">
      <c r="H1888" s="28" t="s">
        <v>814</v>
      </c>
      <c r="K1888" s="28" t="s">
        <v>205</v>
      </c>
      <c r="N1888" s="28" t="s">
        <v>882</v>
      </c>
    </row>
    <row r="1889" spans="8:17" x14ac:dyDescent="0.25">
      <c r="H1889" s="28" t="s">
        <v>815</v>
      </c>
      <c r="Q1889" s="28" t="s">
        <v>254</v>
      </c>
    </row>
    <row r="1890" spans="8:17" x14ac:dyDescent="0.25">
      <c r="H1890" s="28" t="s">
        <v>809</v>
      </c>
      <c r="K1890" s="28" t="s">
        <v>887</v>
      </c>
      <c r="N1890" s="28" t="s">
        <v>883</v>
      </c>
      <c r="Q1890" s="28" t="s">
        <v>255</v>
      </c>
    </row>
    <row r="1891" spans="8:17" x14ac:dyDescent="0.25">
      <c r="H1891" s="28" t="s">
        <v>816</v>
      </c>
      <c r="K1891" s="28" t="s">
        <v>888</v>
      </c>
      <c r="Q1891" s="28" t="s">
        <v>248</v>
      </c>
    </row>
    <row r="1892" spans="8:17" x14ac:dyDescent="0.25">
      <c r="K1892" s="28" t="s">
        <v>716</v>
      </c>
      <c r="N1892" s="28" t="s">
        <v>884</v>
      </c>
      <c r="Q1892" s="28" t="s">
        <v>246</v>
      </c>
    </row>
    <row r="1893" spans="8:17" x14ac:dyDescent="0.25">
      <c r="H1893" s="28" t="s">
        <v>909</v>
      </c>
      <c r="Q1893" s="28" t="s">
        <v>256</v>
      </c>
    </row>
    <row r="1894" spans="8:17" x14ac:dyDescent="0.25">
      <c r="H1894" s="28" t="s">
        <v>910</v>
      </c>
      <c r="K1894" s="28" t="s">
        <v>889</v>
      </c>
      <c r="N1894" s="28" t="s">
        <v>885</v>
      </c>
    </row>
    <row r="1895" spans="8:17" x14ac:dyDescent="0.25">
      <c r="K1895" s="28" t="s">
        <v>716</v>
      </c>
      <c r="Q1895" s="28" t="s">
        <v>265</v>
      </c>
    </row>
    <row r="1896" spans="8:17" x14ac:dyDescent="0.25">
      <c r="H1896" s="28" t="s">
        <v>810</v>
      </c>
      <c r="N1896" s="28" t="s">
        <v>687</v>
      </c>
      <c r="Q1896" s="28" t="s">
        <v>266</v>
      </c>
    </row>
    <row r="1897" spans="8:17" x14ac:dyDescent="0.25">
      <c r="K1897" s="28" t="s">
        <v>722</v>
      </c>
      <c r="N1897" s="28" t="s">
        <v>1178</v>
      </c>
      <c r="Q1897" s="28" t="s">
        <v>267</v>
      </c>
    </row>
    <row r="1898" spans="8:17" x14ac:dyDescent="0.25">
      <c r="H1898" s="28" t="s">
        <v>811</v>
      </c>
      <c r="Q1898" s="28" t="s">
        <v>268</v>
      </c>
    </row>
    <row r="1899" spans="8:17" x14ac:dyDescent="0.25">
      <c r="H1899" s="28" t="s">
        <v>820</v>
      </c>
      <c r="K1899" s="28" t="s">
        <v>160</v>
      </c>
      <c r="N1899" s="28" t="s">
        <v>886</v>
      </c>
    </row>
    <row r="1900" spans="8:17" x14ac:dyDescent="0.25">
      <c r="H1900" s="28" t="s">
        <v>821</v>
      </c>
      <c r="Q1900" s="28" t="s">
        <v>269</v>
      </c>
    </row>
    <row r="1901" spans="8:17" x14ac:dyDescent="0.25">
      <c r="K1901" s="28" t="s">
        <v>982</v>
      </c>
      <c r="N1901" s="28" t="s">
        <v>205</v>
      </c>
      <c r="Q1901" s="28" t="s">
        <v>270</v>
      </c>
    </row>
    <row r="1902" spans="8:17" x14ac:dyDescent="0.25">
      <c r="H1902" s="28" t="s">
        <v>811</v>
      </c>
      <c r="K1902" s="28" t="s">
        <v>927</v>
      </c>
      <c r="Q1902" s="28" t="s">
        <v>268</v>
      </c>
    </row>
    <row r="1903" spans="8:17" x14ac:dyDescent="0.25">
      <c r="H1903" s="28" t="s">
        <v>822</v>
      </c>
      <c r="N1903" s="28" t="s">
        <v>887</v>
      </c>
      <c r="Q1903" s="28" t="s">
        <v>267</v>
      </c>
    </row>
    <row r="1904" spans="8:17" x14ac:dyDescent="0.25">
      <c r="H1904" s="28" t="s">
        <v>811</v>
      </c>
      <c r="K1904" s="28" t="s">
        <v>722</v>
      </c>
      <c r="N1904" s="28" t="s">
        <v>888</v>
      </c>
      <c r="Q1904" s="28" t="s">
        <v>269</v>
      </c>
    </row>
    <row r="1905" spans="8:17" x14ac:dyDescent="0.25">
      <c r="N1905" s="28" t="s">
        <v>869</v>
      </c>
      <c r="Q1905" s="28" t="s">
        <v>265</v>
      </c>
    </row>
    <row r="1906" spans="8:17" x14ac:dyDescent="0.25">
      <c r="H1906" s="28" t="s">
        <v>911</v>
      </c>
      <c r="K1906" s="28" t="s">
        <v>243</v>
      </c>
      <c r="Q1906" s="28" t="s">
        <v>254</v>
      </c>
    </row>
    <row r="1907" spans="8:17" x14ac:dyDescent="0.25">
      <c r="N1907" s="28" t="s">
        <v>889</v>
      </c>
    </row>
    <row r="1908" spans="8:17" x14ac:dyDescent="0.25">
      <c r="H1908" s="28" t="s">
        <v>823</v>
      </c>
      <c r="K1908" s="28" t="s">
        <v>160</v>
      </c>
      <c r="Q1908" s="28" t="s">
        <v>271</v>
      </c>
    </row>
    <row r="1909" spans="8:17" x14ac:dyDescent="0.25">
      <c r="H1909" s="28" t="s">
        <v>809</v>
      </c>
      <c r="K1909" s="28" t="s">
        <v>212</v>
      </c>
      <c r="N1909" s="28" t="s">
        <v>869</v>
      </c>
    </row>
    <row r="1910" spans="8:17" x14ac:dyDescent="0.25">
      <c r="H1910" s="28" t="s">
        <v>826</v>
      </c>
      <c r="Q1910" s="28" t="s">
        <v>273</v>
      </c>
    </row>
    <row r="1911" spans="8:17" x14ac:dyDescent="0.25">
      <c r="K1911" s="28" t="s">
        <v>244</v>
      </c>
      <c r="N1911" s="28" t="s">
        <v>1181</v>
      </c>
      <c r="Q1911" s="28" t="s">
        <v>274</v>
      </c>
    </row>
    <row r="1912" spans="8:17" x14ac:dyDescent="0.25">
      <c r="H1912" s="28" t="s">
        <v>827</v>
      </c>
      <c r="Q1912" s="28" t="s">
        <v>266</v>
      </c>
    </row>
    <row r="1913" spans="8:17" x14ac:dyDescent="0.25">
      <c r="H1913" s="28" t="s">
        <v>823</v>
      </c>
      <c r="K1913" s="28" t="s">
        <v>809</v>
      </c>
      <c r="N1913" s="28" t="s">
        <v>160</v>
      </c>
      <c r="Q1913" s="28" t="s">
        <v>275</v>
      </c>
    </row>
    <row r="1914" spans="8:17" x14ac:dyDescent="0.25">
      <c r="H1914" s="28" t="s">
        <v>809</v>
      </c>
      <c r="K1914" s="28" t="s">
        <v>810</v>
      </c>
    </row>
    <row r="1915" spans="8:17" x14ac:dyDescent="0.25">
      <c r="K1915" s="28" t="s">
        <v>811</v>
      </c>
      <c r="N1915" s="28" t="s">
        <v>285</v>
      </c>
      <c r="Q1915" s="28" t="s">
        <v>1371</v>
      </c>
    </row>
    <row r="1916" spans="8:17" x14ac:dyDescent="0.25">
      <c r="H1916" s="28" t="s">
        <v>912</v>
      </c>
      <c r="K1916" s="28" t="s">
        <v>812</v>
      </c>
      <c r="Q1916" s="28" t="s">
        <v>194</v>
      </c>
    </row>
    <row r="1917" spans="8:17" x14ac:dyDescent="0.25">
      <c r="K1917" s="28" t="s">
        <v>809</v>
      </c>
      <c r="N1917" s="28" t="s">
        <v>420</v>
      </c>
    </row>
    <row r="1918" spans="8:17" x14ac:dyDescent="0.25">
      <c r="H1918" s="28" t="s">
        <v>810</v>
      </c>
      <c r="K1918" s="28" t="s">
        <v>813</v>
      </c>
      <c r="Q1918" s="28" t="s">
        <v>190</v>
      </c>
    </row>
    <row r="1919" spans="8:17" x14ac:dyDescent="0.25">
      <c r="H1919" s="28" t="s">
        <v>818</v>
      </c>
      <c r="K1919" s="28" t="s">
        <v>811</v>
      </c>
      <c r="N1919" s="28" t="s">
        <v>1252</v>
      </c>
    </row>
    <row r="1920" spans="8:17" x14ac:dyDescent="0.25">
      <c r="K1920" s="28" t="s">
        <v>814</v>
      </c>
      <c r="Q1920" s="28" t="s">
        <v>1377</v>
      </c>
    </row>
    <row r="1921" spans="8:17" x14ac:dyDescent="0.25">
      <c r="H1921" s="28" t="s">
        <v>265</v>
      </c>
      <c r="K1921" s="28" t="s">
        <v>815</v>
      </c>
      <c r="N1921" s="28" t="s">
        <v>1253</v>
      </c>
      <c r="Q1921" s="28" t="s">
        <v>705</v>
      </c>
    </row>
    <row r="1922" spans="8:17" x14ac:dyDescent="0.25">
      <c r="H1922" s="28" t="s">
        <v>266</v>
      </c>
      <c r="K1922" s="28" t="s">
        <v>809</v>
      </c>
      <c r="N1922" s="28" t="s">
        <v>1254</v>
      </c>
      <c r="Q1922" s="28" t="s">
        <v>1406</v>
      </c>
    </row>
    <row r="1923" spans="8:17" x14ac:dyDescent="0.25">
      <c r="H1923" s="28" t="s">
        <v>267</v>
      </c>
      <c r="K1923" s="28" t="s">
        <v>816</v>
      </c>
      <c r="N1923" s="28" t="s">
        <v>1255</v>
      </c>
    </row>
    <row r="1924" spans="8:17" x14ac:dyDescent="0.25">
      <c r="H1924" s="28" t="s">
        <v>268</v>
      </c>
      <c r="Q1924" s="28" t="s">
        <v>1372</v>
      </c>
    </row>
    <row r="1925" spans="8:17" x14ac:dyDescent="0.25">
      <c r="K1925" s="28" t="s">
        <v>909</v>
      </c>
      <c r="N1925" s="28" t="s">
        <v>1256</v>
      </c>
    </row>
    <row r="1926" spans="8:17" x14ac:dyDescent="0.25">
      <c r="H1926" s="28" t="s">
        <v>269</v>
      </c>
      <c r="K1926" s="28" t="s">
        <v>910</v>
      </c>
      <c r="N1926" s="28" t="s">
        <v>1255</v>
      </c>
      <c r="Q1926" s="28" t="s">
        <v>885</v>
      </c>
    </row>
    <row r="1927" spans="8:17" x14ac:dyDescent="0.25">
      <c r="H1927" s="28" t="s">
        <v>270</v>
      </c>
      <c r="N1927" s="28" t="s">
        <v>244</v>
      </c>
    </row>
    <row r="1928" spans="8:17" x14ac:dyDescent="0.25">
      <c r="H1928" s="28" t="s">
        <v>268</v>
      </c>
      <c r="K1928" s="28" t="s">
        <v>810</v>
      </c>
      <c r="Q1928" s="28" t="s">
        <v>1373</v>
      </c>
    </row>
    <row r="1929" spans="8:17" x14ac:dyDescent="0.25">
      <c r="H1929" s="28" t="s">
        <v>267</v>
      </c>
      <c r="N1929" s="28" t="s">
        <v>419</v>
      </c>
    </row>
    <row r="1930" spans="8:17" x14ac:dyDescent="0.25">
      <c r="H1930" s="28" t="s">
        <v>269</v>
      </c>
      <c r="K1930" s="28" t="s">
        <v>811</v>
      </c>
      <c r="Q1930" s="28" t="s">
        <v>687</v>
      </c>
    </row>
    <row r="1931" spans="8:17" x14ac:dyDescent="0.25">
      <c r="H1931" s="28" t="s">
        <v>265</v>
      </c>
      <c r="K1931" s="28" t="s">
        <v>820</v>
      </c>
      <c r="N1931" s="28" t="s">
        <v>244</v>
      </c>
      <c r="Q1931" s="28" t="s">
        <v>1438</v>
      </c>
    </row>
    <row r="1932" spans="8:17" x14ac:dyDescent="0.25">
      <c r="H1932" s="28" t="s">
        <v>254</v>
      </c>
      <c r="K1932" s="28" t="s">
        <v>821</v>
      </c>
      <c r="N1932" s="28" t="s">
        <v>1257</v>
      </c>
    </row>
    <row r="1933" spans="8:17" x14ac:dyDescent="0.25">
      <c r="Q1933" s="28" t="s">
        <v>1374</v>
      </c>
    </row>
    <row r="1934" spans="8:17" x14ac:dyDescent="0.25">
      <c r="H1934" s="28" t="s">
        <v>271</v>
      </c>
      <c r="K1934" s="28" t="s">
        <v>811</v>
      </c>
      <c r="N1934" s="28" t="s">
        <v>434</v>
      </c>
      <c r="Q1934" s="28" t="s">
        <v>882</v>
      </c>
    </row>
    <row r="1935" spans="8:17" x14ac:dyDescent="0.25">
      <c r="K1935" s="28" t="s">
        <v>822</v>
      </c>
    </row>
    <row r="1936" spans="8:17" x14ac:dyDescent="0.25">
      <c r="H1936" s="28" t="s">
        <v>273</v>
      </c>
      <c r="K1936" s="28" t="s">
        <v>811</v>
      </c>
      <c r="N1936" s="28" t="s">
        <v>244</v>
      </c>
      <c r="Q1936" s="28" t="s">
        <v>1441</v>
      </c>
    </row>
    <row r="1937" spans="8:17" x14ac:dyDescent="0.25">
      <c r="H1937" s="28" t="s">
        <v>274</v>
      </c>
      <c r="N1937" s="28" t="s">
        <v>160</v>
      </c>
    </row>
    <row r="1938" spans="8:17" x14ac:dyDescent="0.25">
      <c r="H1938" s="28" t="s">
        <v>266</v>
      </c>
      <c r="K1938" s="28" t="s">
        <v>911</v>
      </c>
      <c r="N1938" s="28" t="s">
        <v>160</v>
      </c>
      <c r="Q1938" s="28" t="s">
        <v>205</v>
      </c>
    </row>
    <row r="1939" spans="8:17" x14ac:dyDescent="0.25">
      <c r="H1939" s="28" t="s">
        <v>275</v>
      </c>
    </row>
    <row r="1940" spans="8:17" x14ac:dyDescent="0.25">
      <c r="K1940" s="28" t="s">
        <v>823</v>
      </c>
      <c r="N1940" s="28" t="s">
        <v>434</v>
      </c>
      <c r="Q1940" s="28" t="s">
        <v>160</v>
      </c>
    </row>
    <row r="1941" spans="8:17" x14ac:dyDescent="0.25">
      <c r="H1941" s="28" t="s">
        <v>891</v>
      </c>
      <c r="K1941" s="28" t="s">
        <v>809</v>
      </c>
    </row>
    <row r="1942" spans="8:17" x14ac:dyDescent="0.25">
      <c r="H1942" s="28" t="s">
        <v>892</v>
      </c>
      <c r="K1942" s="28" t="s">
        <v>826</v>
      </c>
      <c r="N1942" s="28" t="s">
        <v>1259</v>
      </c>
      <c r="Q1942" s="28" t="s">
        <v>1375</v>
      </c>
    </row>
    <row r="1943" spans="8:17" x14ac:dyDescent="0.25">
      <c r="Q1943" s="28" t="s">
        <v>1376</v>
      </c>
    </row>
    <row r="1944" spans="8:17" x14ac:dyDescent="0.25">
      <c r="H1944" s="28" t="s">
        <v>779</v>
      </c>
      <c r="K1944" s="28" t="s">
        <v>827</v>
      </c>
      <c r="N1944" s="28" t="s">
        <v>1260</v>
      </c>
    </row>
    <row r="1945" spans="8:17" x14ac:dyDescent="0.25">
      <c r="H1945" s="28" t="s">
        <v>778</v>
      </c>
      <c r="K1945" s="28" t="s">
        <v>823</v>
      </c>
      <c r="N1945" s="28" t="s">
        <v>1261</v>
      </c>
      <c r="Q1945" s="28" t="s">
        <v>689</v>
      </c>
    </row>
    <row r="1946" spans="8:17" x14ac:dyDescent="0.25">
      <c r="K1946" s="28" t="s">
        <v>809</v>
      </c>
    </row>
    <row r="1947" spans="8:17" x14ac:dyDescent="0.25">
      <c r="H1947" s="28" t="s">
        <v>944</v>
      </c>
      <c r="N1947" s="28" t="s">
        <v>160</v>
      </c>
      <c r="Q1947" s="28" t="s">
        <v>1437</v>
      </c>
    </row>
    <row r="1948" spans="8:17" x14ac:dyDescent="0.25">
      <c r="K1948" s="28" t="s">
        <v>912</v>
      </c>
    </row>
    <row r="1949" spans="8:17" x14ac:dyDescent="0.25">
      <c r="H1949" s="28" t="s">
        <v>785</v>
      </c>
      <c r="N1949" s="28" t="s">
        <v>916</v>
      </c>
      <c r="Q1949" s="28" t="s">
        <v>1437</v>
      </c>
    </row>
    <row r="1950" spans="8:17" x14ac:dyDescent="0.25">
      <c r="K1950" s="28" t="s">
        <v>810</v>
      </c>
      <c r="N1950" s="28" t="s">
        <v>1105</v>
      </c>
    </row>
    <row r="1951" spans="8:17" x14ac:dyDescent="0.25">
      <c r="H1951" s="28" t="s">
        <v>894</v>
      </c>
      <c r="K1951" s="28" t="s">
        <v>818</v>
      </c>
      <c r="N1951" s="28" t="s">
        <v>1262</v>
      </c>
      <c r="Q1951" s="28" t="s">
        <v>243</v>
      </c>
    </row>
    <row r="1952" spans="8:17" x14ac:dyDescent="0.25">
      <c r="Q1952" s="28" t="s">
        <v>244</v>
      </c>
    </row>
    <row r="1953" spans="8:17" x14ac:dyDescent="0.25">
      <c r="H1953" s="28" t="s">
        <v>895</v>
      </c>
      <c r="K1953" s="28" t="s">
        <v>265</v>
      </c>
      <c r="N1953" s="28" t="s">
        <v>502</v>
      </c>
      <c r="Q1953" s="28" t="s">
        <v>244</v>
      </c>
    </row>
    <row r="1954" spans="8:17" x14ac:dyDescent="0.25">
      <c r="K1954" s="28" t="s">
        <v>266</v>
      </c>
      <c r="N1954" s="28" t="s">
        <v>1105</v>
      </c>
    </row>
    <row r="1955" spans="8:17" x14ac:dyDescent="0.25">
      <c r="H1955" s="28" t="s">
        <v>896</v>
      </c>
      <c r="K1955" s="28" t="s">
        <v>267</v>
      </c>
      <c r="Q1955" s="28" t="s">
        <v>1006</v>
      </c>
    </row>
    <row r="1956" spans="8:17" x14ac:dyDescent="0.25">
      <c r="K1956" s="28" t="s">
        <v>268</v>
      </c>
      <c r="N1956" s="28" t="s">
        <v>1263</v>
      </c>
      <c r="Q1956" s="28" t="s">
        <v>1462</v>
      </c>
    </row>
    <row r="1957" spans="8:17" x14ac:dyDescent="0.25">
      <c r="H1957" s="28" t="s">
        <v>897</v>
      </c>
    </row>
    <row r="1958" spans="8:17" x14ac:dyDescent="0.25">
      <c r="K1958" s="28" t="s">
        <v>269</v>
      </c>
      <c r="N1958" s="28" t="s">
        <v>160</v>
      </c>
      <c r="Q1958" s="28" t="s">
        <v>244</v>
      </c>
    </row>
    <row r="1959" spans="8:17" x14ac:dyDescent="0.25">
      <c r="H1959" s="28" t="s">
        <v>898</v>
      </c>
      <c r="K1959" s="28" t="s">
        <v>270</v>
      </c>
      <c r="Q1959" s="28" t="s">
        <v>160</v>
      </c>
    </row>
    <row r="1960" spans="8:17" x14ac:dyDescent="0.25">
      <c r="K1960" s="28" t="s">
        <v>268</v>
      </c>
      <c r="N1960" s="28" t="s">
        <v>160</v>
      </c>
    </row>
    <row r="1961" spans="8:17" x14ac:dyDescent="0.25">
      <c r="H1961" s="28" t="s">
        <v>899</v>
      </c>
      <c r="K1961" s="28" t="s">
        <v>267</v>
      </c>
      <c r="Q1961" s="28" t="s">
        <v>243</v>
      </c>
    </row>
    <row r="1962" spans="8:17" x14ac:dyDescent="0.25">
      <c r="K1962" s="28" t="s">
        <v>269</v>
      </c>
      <c r="N1962" s="28" t="s">
        <v>1264</v>
      </c>
      <c r="Q1962" s="28" t="s">
        <v>212</v>
      </c>
    </row>
    <row r="1963" spans="8:17" x14ac:dyDescent="0.25">
      <c r="H1963" s="28" t="s">
        <v>900</v>
      </c>
      <c r="K1963" s="28" t="s">
        <v>265</v>
      </c>
    </row>
    <row r="1964" spans="8:17" x14ac:dyDescent="0.25">
      <c r="K1964" s="28" t="s">
        <v>254</v>
      </c>
      <c r="N1964" s="28" t="s">
        <v>1270</v>
      </c>
      <c r="Q1964" s="28" t="s">
        <v>434</v>
      </c>
    </row>
    <row r="1965" spans="8:17" x14ac:dyDescent="0.25">
      <c r="H1965" s="28" t="s">
        <v>901</v>
      </c>
    </row>
    <row r="1966" spans="8:17" x14ac:dyDescent="0.25">
      <c r="K1966" s="28" t="s">
        <v>271</v>
      </c>
      <c r="N1966" s="28" t="s">
        <v>1181</v>
      </c>
      <c r="Q1966" s="28" t="s">
        <v>419</v>
      </c>
    </row>
    <row r="1967" spans="8:17" x14ac:dyDescent="0.25">
      <c r="H1967" s="28" t="s">
        <v>902</v>
      </c>
      <c r="Q1967" s="28" t="s">
        <v>212</v>
      </c>
    </row>
    <row r="1968" spans="8:17" x14ac:dyDescent="0.25">
      <c r="K1968" s="28" t="s">
        <v>273</v>
      </c>
      <c r="N1968" s="28" t="s">
        <v>212</v>
      </c>
    </row>
    <row r="1969" spans="8:17" x14ac:dyDescent="0.25">
      <c r="H1969" s="28" t="s">
        <v>903</v>
      </c>
      <c r="K1969" s="28" t="s">
        <v>274</v>
      </c>
      <c r="N1969" s="28" t="s">
        <v>420</v>
      </c>
      <c r="Q1969" s="28" t="s">
        <v>435</v>
      </c>
    </row>
    <row r="1970" spans="8:17" x14ac:dyDescent="0.25">
      <c r="K1970" s="28" t="s">
        <v>266</v>
      </c>
      <c r="N1970" s="28" t="s">
        <v>160</v>
      </c>
    </row>
    <row r="1971" spans="8:17" x14ac:dyDescent="0.25">
      <c r="H1971" s="28" t="s">
        <v>77</v>
      </c>
      <c r="K1971" s="28" t="s">
        <v>275</v>
      </c>
      <c r="Q1971" s="28" t="s">
        <v>160</v>
      </c>
    </row>
    <row r="1972" spans="8:17" x14ac:dyDescent="0.25">
      <c r="N1972" s="28" t="s">
        <v>1273</v>
      </c>
    </row>
    <row r="1973" spans="8:17" x14ac:dyDescent="0.25">
      <c r="H1973" s="28" t="s">
        <v>904</v>
      </c>
      <c r="K1973" s="28" t="s">
        <v>891</v>
      </c>
      <c r="N1973" s="28" t="s">
        <v>1274</v>
      </c>
      <c r="Q1973" s="28" t="s">
        <v>160</v>
      </c>
    </row>
    <row r="1974" spans="8:17" x14ac:dyDescent="0.25">
      <c r="K1974" s="28" t="s">
        <v>892</v>
      </c>
    </row>
    <row r="1975" spans="8:17" x14ac:dyDescent="0.25">
      <c r="H1975" s="28" t="s">
        <v>780</v>
      </c>
      <c r="N1975" s="28" t="s">
        <v>1269</v>
      </c>
      <c r="Q1975" s="28" t="s">
        <v>990</v>
      </c>
    </row>
    <row r="1976" spans="8:17" x14ac:dyDescent="0.25">
      <c r="K1976" s="28" t="s">
        <v>779</v>
      </c>
    </row>
    <row r="1977" spans="8:17" x14ac:dyDescent="0.25">
      <c r="H1977" s="28" t="s">
        <v>905</v>
      </c>
      <c r="K1977" s="28" t="s">
        <v>778</v>
      </c>
      <c r="N1977" s="28" t="s">
        <v>1269</v>
      </c>
      <c r="Q1977" s="28" t="s">
        <v>1463</v>
      </c>
    </row>
    <row r="1978" spans="8:17" x14ac:dyDescent="0.25">
      <c r="H1978" s="28" t="s">
        <v>758</v>
      </c>
    </row>
    <row r="1979" spans="8:17" x14ac:dyDescent="0.25">
      <c r="K1979" s="28" t="s">
        <v>1116</v>
      </c>
      <c r="N1979" s="28" t="s">
        <v>891</v>
      </c>
      <c r="Q1979" s="28" t="s">
        <v>676</v>
      </c>
    </row>
    <row r="1980" spans="8:17" x14ac:dyDescent="0.25">
      <c r="H1980" s="28" t="s">
        <v>326</v>
      </c>
      <c r="N1980" s="28" t="s">
        <v>892</v>
      </c>
      <c r="Q1980" s="28" t="s">
        <v>241</v>
      </c>
    </row>
    <row r="1981" spans="8:17" x14ac:dyDescent="0.25">
      <c r="H1981" s="28" t="s">
        <v>899</v>
      </c>
      <c r="K1981" s="28" t="s">
        <v>785</v>
      </c>
    </row>
    <row r="1982" spans="8:17" x14ac:dyDescent="0.25">
      <c r="N1982" s="28" t="s">
        <v>779</v>
      </c>
      <c r="Q1982" s="28" t="s">
        <v>243</v>
      </c>
    </row>
    <row r="1983" spans="8:17" x14ac:dyDescent="0.25">
      <c r="H1983" s="28" t="s">
        <v>73</v>
      </c>
      <c r="K1983" s="28" t="s">
        <v>894</v>
      </c>
      <c r="N1983" s="28" t="s">
        <v>778</v>
      </c>
    </row>
    <row r="1984" spans="8:17" x14ac:dyDescent="0.25">
      <c r="Q1984" s="28" t="s">
        <v>1464</v>
      </c>
    </row>
    <row r="1985" spans="8:17" x14ac:dyDescent="0.25">
      <c r="H1985" s="28" t="s">
        <v>906</v>
      </c>
      <c r="K1985" s="28" t="s">
        <v>895</v>
      </c>
      <c r="N1985" s="28" t="s">
        <v>1275</v>
      </c>
    </row>
    <row r="1986" spans="8:17" x14ac:dyDescent="0.25">
      <c r="H1986" s="28" t="s">
        <v>907</v>
      </c>
      <c r="Q1986" s="28" t="s">
        <v>284</v>
      </c>
    </row>
    <row r="1987" spans="8:17" x14ac:dyDescent="0.25">
      <c r="K1987" s="28" t="s">
        <v>896</v>
      </c>
      <c r="N1987" s="28" t="s">
        <v>785</v>
      </c>
    </row>
    <row r="1988" spans="8:17" x14ac:dyDescent="0.25">
      <c r="H1988" s="28" t="s">
        <v>420</v>
      </c>
      <c r="Q1988" s="28" t="s">
        <v>891</v>
      </c>
    </row>
    <row r="1989" spans="8:17" x14ac:dyDescent="0.25">
      <c r="K1989" s="28" t="s">
        <v>897</v>
      </c>
      <c r="N1989" s="28" t="s">
        <v>894</v>
      </c>
      <c r="Q1989" s="28" t="s">
        <v>892</v>
      </c>
    </row>
    <row r="1990" spans="8:17" x14ac:dyDescent="0.25">
      <c r="H1990" s="28" t="s">
        <v>908</v>
      </c>
    </row>
    <row r="1991" spans="8:17" x14ac:dyDescent="0.25">
      <c r="K1991" s="28" t="s">
        <v>898</v>
      </c>
      <c r="N1991" s="28" t="s">
        <v>895</v>
      </c>
      <c r="Q1991" s="28" t="s">
        <v>779</v>
      </c>
    </row>
    <row r="1992" spans="8:17" x14ac:dyDescent="0.25">
      <c r="H1992" s="28" t="s">
        <v>365</v>
      </c>
      <c r="Q1992" s="28" t="s">
        <v>778</v>
      </c>
    </row>
    <row r="1993" spans="8:17" x14ac:dyDescent="0.25">
      <c r="K1993" s="28" t="s">
        <v>899</v>
      </c>
      <c r="N1993" s="28" t="s">
        <v>896</v>
      </c>
    </row>
    <row r="1994" spans="8:17" x14ac:dyDescent="0.25">
      <c r="Q1994" s="28" t="s">
        <v>1468</v>
      </c>
    </row>
    <row r="1995" spans="8:17" x14ac:dyDescent="0.25">
      <c r="K1995" s="28" t="s">
        <v>900</v>
      </c>
      <c r="N1995" s="28" t="s">
        <v>897</v>
      </c>
    </row>
    <row r="1996" spans="8:17" x14ac:dyDescent="0.25">
      <c r="Q1996" s="28" t="s">
        <v>77</v>
      </c>
    </row>
    <row r="1997" spans="8:17" x14ac:dyDescent="0.25">
      <c r="K1997" s="28" t="s">
        <v>901</v>
      </c>
      <c r="N1997" s="28" t="s">
        <v>898</v>
      </c>
    </row>
    <row r="1998" spans="8:17" x14ac:dyDescent="0.25">
      <c r="Q1998" s="28" t="s">
        <v>1459</v>
      </c>
    </row>
    <row r="1999" spans="8:17" x14ac:dyDescent="0.25">
      <c r="K1999" s="28" t="s">
        <v>902</v>
      </c>
      <c r="N1999" s="28" t="s">
        <v>899</v>
      </c>
    </row>
    <row r="2000" spans="8:17" x14ac:dyDescent="0.25">
      <c r="Q2000" s="28" t="s">
        <v>786</v>
      </c>
    </row>
    <row r="2001" spans="11:17" x14ac:dyDescent="0.25">
      <c r="K2001" s="28" t="s">
        <v>903</v>
      </c>
      <c r="N2001" s="28" t="s">
        <v>900</v>
      </c>
    </row>
    <row r="2002" spans="11:17" x14ac:dyDescent="0.25">
      <c r="Q2002" s="28" t="s">
        <v>1383</v>
      </c>
    </row>
    <row r="2003" spans="11:17" x14ac:dyDescent="0.25">
      <c r="K2003" s="28" t="s">
        <v>1108</v>
      </c>
      <c r="N2003" s="28" t="s">
        <v>901</v>
      </c>
      <c r="Q2003" s="28" t="s">
        <v>1445</v>
      </c>
    </row>
    <row r="2005" spans="11:17" x14ac:dyDescent="0.25">
      <c r="K2005" s="28" t="s">
        <v>77</v>
      </c>
      <c r="N2005" s="28" t="s">
        <v>902</v>
      </c>
      <c r="Q2005" s="28" t="s">
        <v>326</v>
      </c>
    </row>
    <row r="2006" spans="11:17" x14ac:dyDescent="0.25">
      <c r="Q2006" s="28" t="s">
        <v>327</v>
      </c>
    </row>
    <row r="2007" spans="11:17" x14ac:dyDescent="0.25">
      <c r="K2007" s="28" t="s">
        <v>972</v>
      </c>
      <c r="N2007" s="28" t="s">
        <v>903</v>
      </c>
    </row>
    <row r="2008" spans="11:17" x14ac:dyDescent="0.25">
      <c r="Q2008" s="28" t="s">
        <v>73</v>
      </c>
    </row>
    <row r="2009" spans="11:17" x14ac:dyDescent="0.25">
      <c r="K2009" s="28" t="s">
        <v>905</v>
      </c>
      <c r="N2009" s="28" t="s">
        <v>1242</v>
      </c>
    </row>
    <row r="2010" spans="11:17" x14ac:dyDescent="0.25">
      <c r="K2010" s="28" t="s">
        <v>1084</v>
      </c>
      <c r="Q2010" s="28" t="s">
        <v>906</v>
      </c>
    </row>
    <row r="2011" spans="11:17" x14ac:dyDescent="0.25">
      <c r="N2011" s="28" t="s">
        <v>77</v>
      </c>
      <c r="Q2011" s="28" t="s">
        <v>350</v>
      </c>
    </row>
    <row r="2012" spans="11:17" x14ac:dyDescent="0.25">
      <c r="K2012" s="28" t="s">
        <v>326</v>
      </c>
    </row>
    <row r="2013" spans="11:17" x14ac:dyDescent="0.25">
      <c r="K2013" s="28" t="s">
        <v>899</v>
      </c>
      <c r="N2013" s="28" t="s">
        <v>972</v>
      </c>
      <c r="Q2013" s="28" t="s">
        <v>545</v>
      </c>
    </row>
    <row r="2015" spans="11:17" x14ac:dyDescent="0.25">
      <c r="K2015" s="28" t="s">
        <v>82</v>
      </c>
      <c r="N2015" s="28" t="s">
        <v>905</v>
      </c>
      <c r="Q2015" s="28" t="s">
        <v>1384</v>
      </c>
    </row>
    <row r="2016" spans="11:17" x14ac:dyDescent="0.25">
      <c r="N2016" s="28" t="s">
        <v>1187</v>
      </c>
    </row>
    <row r="2017" spans="11:17" x14ac:dyDescent="0.25">
      <c r="K2017" s="28" t="s">
        <v>906</v>
      </c>
      <c r="Q2017" s="28" t="s">
        <v>1385</v>
      </c>
    </row>
    <row r="2018" spans="11:17" x14ac:dyDescent="0.25">
      <c r="K2018" s="28" t="s">
        <v>907</v>
      </c>
      <c r="N2018" s="28" t="s">
        <v>326</v>
      </c>
    </row>
    <row r="2019" spans="11:17" x14ac:dyDescent="0.25">
      <c r="N2019" s="28" t="s">
        <v>899</v>
      </c>
      <c r="Q2019" s="28" t="s">
        <v>1386</v>
      </c>
    </row>
    <row r="2020" spans="11:17" x14ac:dyDescent="0.25">
      <c r="K2020" s="28" t="s">
        <v>545</v>
      </c>
    </row>
    <row r="2021" spans="11:17" x14ac:dyDescent="0.25">
      <c r="N2021" s="28" t="s">
        <v>82</v>
      </c>
      <c r="Q2021" s="28" t="s">
        <v>245</v>
      </c>
    </row>
    <row r="2022" spans="11:17" x14ac:dyDescent="0.25">
      <c r="K2022" s="28" t="s">
        <v>908</v>
      </c>
      <c r="Q2022" s="28" t="s">
        <v>246</v>
      </c>
    </row>
    <row r="2023" spans="11:17" x14ac:dyDescent="0.25">
      <c r="N2023" s="28" t="s">
        <v>906</v>
      </c>
      <c r="Q2023" s="28" t="s">
        <v>247</v>
      </c>
    </row>
    <row r="2024" spans="11:17" x14ac:dyDescent="0.25">
      <c r="K2024" s="28" t="s">
        <v>365</v>
      </c>
      <c r="N2024" s="28" t="s">
        <v>907</v>
      </c>
      <c r="Q2024" s="28" t="s">
        <v>248</v>
      </c>
    </row>
    <row r="2025" spans="11:17" x14ac:dyDescent="0.25">
      <c r="Q2025" s="28" t="s">
        <v>245</v>
      </c>
    </row>
    <row r="2026" spans="11:17" x14ac:dyDescent="0.25">
      <c r="N2026" s="28" t="s">
        <v>424</v>
      </c>
      <c r="Q2026" s="28" t="s">
        <v>249</v>
      </c>
    </row>
    <row r="2027" spans="11:17" x14ac:dyDescent="0.25">
      <c r="Q2027" s="28" t="s">
        <v>247</v>
      </c>
    </row>
    <row r="2028" spans="11:17" x14ac:dyDescent="0.25">
      <c r="N2028" s="28" t="s">
        <v>908</v>
      </c>
      <c r="Q2028" s="28" t="s">
        <v>250</v>
      </c>
    </row>
    <row r="2029" spans="11:17" x14ac:dyDescent="0.25">
      <c r="Q2029" s="28" t="s">
        <v>251</v>
      </c>
    </row>
    <row r="2030" spans="11:17" x14ac:dyDescent="0.25">
      <c r="N2030" s="28" t="s">
        <v>913</v>
      </c>
      <c r="Q2030" s="28" t="s">
        <v>245</v>
      </c>
    </row>
    <row r="2031" spans="11:17" x14ac:dyDescent="0.25">
      <c r="N2031" s="28" t="s">
        <v>881</v>
      </c>
      <c r="Q2031" s="28" t="s">
        <v>252</v>
      </c>
    </row>
    <row r="2032" spans="11:17" x14ac:dyDescent="0.25">
      <c r="N2032" s="28" t="s">
        <v>882</v>
      </c>
    </row>
    <row r="2033" spans="14:17" x14ac:dyDescent="0.25">
      <c r="Q2033" s="28" t="s">
        <v>253</v>
      </c>
    </row>
    <row r="2034" spans="14:17" x14ac:dyDescent="0.25">
      <c r="N2034" s="28" t="s">
        <v>883</v>
      </c>
    </row>
    <row r="2035" spans="14:17" x14ac:dyDescent="0.25">
      <c r="Q2035" s="28" t="s">
        <v>254</v>
      </c>
    </row>
    <row r="2036" spans="14:17" x14ac:dyDescent="0.25">
      <c r="N2036" s="28" t="s">
        <v>884</v>
      </c>
      <c r="Q2036" s="28" t="s">
        <v>255</v>
      </c>
    </row>
    <row r="2037" spans="14:17" x14ac:dyDescent="0.25">
      <c r="Q2037" s="28" t="s">
        <v>248</v>
      </c>
    </row>
    <row r="2038" spans="14:17" x14ac:dyDescent="0.25">
      <c r="N2038" s="28" t="s">
        <v>885</v>
      </c>
      <c r="Q2038" s="28" t="s">
        <v>246</v>
      </c>
    </row>
    <row r="2039" spans="14:17" x14ac:dyDescent="0.25">
      <c r="Q2039" s="28" t="s">
        <v>256</v>
      </c>
    </row>
    <row r="2040" spans="14:17" x14ac:dyDescent="0.25">
      <c r="N2040" s="28" t="s">
        <v>915</v>
      </c>
    </row>
    <row r="2041" spans="14:17" x14ac:dyDescent="0.25">
      <c r="N2041" s="28" t="s">
        <v>705</v>
      </c>
      <c r="Q2041" s="28" t="s">
        <v>254</v>
      </c>
    </row>
    <row r="2042" spans="14:17" x14ac:dyDescent="0.25">
      <c r="N2042" s="28" t="s">
        <v>1174</v>
      </c>
      <c r="Q2042" s="28" t="s">
        <v>255</v>
      </c>
    </row>
    <row r="2044" spans="14:17" x14ac:dyDescent="0.25">
      <c r="N2044" s="28" t="s">
        <v>914</v>
      </c>
      <c r="Q2044" s="28" t="s">
        <v>257</v>
      </c>
    </row>
    <row r="2045" spans="14:17" x14ac:dyDescent="0.25">
      <c r="Q2045" s="28" t="s">
        <v>247</v>
      </c>
    </row>
    <row r="2046" spans="14:17" x14ac:dyDescent="0.25">
      <c r="N2046" s="28" t="s">
        <v>886</v>
      </c>
      <c r="Q2046" s="28" t="s">
        <v>258</v>
      </c>
    </row>
    <row r="2047" spans="14:17" x14ac:dyDescent="0.25">
      <c r="Q2047" s="28" t="s">
        <v>259</v>
      </c>
    </row>
    <row r="2048" spans="14:17" x14ac:dyDescent="0.25">
      <c r="N2048" s="28" t="s">
        <v>205</v>
      </c>
    </row>
    <row r="2049" spans="14:17" x14ac:dyDescent="0.25">
      <c r="Q2049" s="28" t="s">
        <v>247</v>
      </c>
    </row>
    <row r="2050" spans="14:17" x14ac:dyDescent="0.25">
      <c r="N2050" s="28" t="s">
        <v>887</v>
      </c>
      <c r="Q2050" s="28" t="s">
        <v>260</v>
      </c>
    </row>
    <row r="2051" spans="14:17" x14ac:dyDescent="0.25">
      <c r="N2051" s="28" t="s">
        <v>888</v>
      </c>
      <c r="Q2051" s="28" t="s">
        <v>247</v>
      </c>
    </row>
    <row r="2052" spans="14:17" x14ac:dyDescent="0.25">
      <c r="N2052" s="28" t="s">
        <v>1184</v>
      </c>
      <c r="Q2052" s="28" t="s">
        <v>261</v>
      </c>
    </row>
    <row r="2053" spans="14:17" x14ac:dyDescent="0.25">
      <c r="Q2053" s="28" t="s">
        <v>254</v>
      </c>
    </row>
    <row r="2054" spans="14:17" x14ac:dyDescent="0.25">
      <c r="N2054" s="28" t="s">
        <v>889</v>
      </c>
    </row>
    <row r="2055" spans="14:17" x14ac:dyDescent="0.25">
      <c r="Q2055" s="28" t="s">
        <v>262</v>
      </c>
    </row>
    <row r="2056" spans="14:17" x14ac:dyDescent="0.25">
      <c r="N2056" s="28" t="s">
        <v>1184</v>
      </c>
    </row>
    <row r="2057" spans="14:17" x14ac:dyDescent="0.25">
      <c r="Q2057" s="28" t="s">
        <v>254</v>
      </c>
    </row>
    <row r="2058" spans="14:17" x14ac:dyDescent="0.25">
      <c r="N2058" s="28" t="s">
        <v>1182</v>
      </c>
      <c r="Q2058" s="28" t="s">
        <v>255</v>
      </c>
    </row>
    <row r="2059" spans="14:17" x14ac:dyDescent="0.25">
      <c r="Q2059" s="28" t="s">
        <v>263</v>
      </c>
    </row>
    <row r="2060" spans="14:17" x14ac:dyDescent="0.25">
      <c r="N2060" s="28" t="s">
        <v>160</v>
      </c>
      <c r="Q2060" s="28" t="s">
        <v>261</v>
      </c>
    </row>
    <row r="2061" spans="14:17" x14ac:dyDescent="0.25">
      <c r="Q2061" s="28" t="s">
        <v>245</v>
      </c>
    </row>
    <row r="2062" spans="14:17" x14ac:dyDescent="0.25">
      <c r="N2062" s="28" t="s">
        <v>212</v>
      </c>
      <c r="Q2062" s="28" t="s">
        <v>264</v>
      </c>
    </row>
    <row r="2064" spans="14:17" x14ac:dyDescent="0.25">
      <c r="N2064" s="28" t="s">
        <v>212</v>
      </c>
      <c r="Q2064" s="28" t="s">
        <v>255</v>
      </c>
    </row>
    <row r="2066" spans="14:17" x14ac:dyDescent="0.25">
      <c r="N2066" s="28" t="s">
        <v>244</v>
      </c>
      <c r="Q2066" s="28" t="s">
        <v>250</v>
      </c>
    </row>
    <row r="2067" spans="14:17" x14ac:dyDescent="0.25">
      <c r="Q2067" s="28" t="s">
        <v>261</v>
      </c>
    </row>
    <row r="2068" spans="14:17" x14ac:dyDescent="0.25">
      <c r="N2068" s="28" t="s">
        <v>160</v>
      </c>
      <c r="Q2068" s="28" t="s">
        <v>245</v>
      </c>
    </row>
    <row r="2069" spans="14:17" x14ac:dyDescent="0.25">
      <c r="Q2069" s="28" t="s">
        <v>263</v>
      </c>
    </row>
    <row r="2070" spans="14:17" x14ac:dyDescent="0.25">
      <c r="N2070" s="28" t="s">
        <v>1264</v>
      </c>
      <c r="Q2070" s="28" t="s">
        <v>254</v>
      </c>
    </row>
    <row r="2071" spans="14:17" x14ac:dyDescent="0.25">
      <c r="N2071" s="28" t="s">
        <v>1182</v>
      </c>
      <c r="Q2071" s="28" t="s">
        <v>253</v>
      </c>
    </row>
    <row r="2073" spans="14:17" x14ac:dyDescent="0.25">
      <c r="N2073" s="28" t="s">
        <v>676</v>
      </c>
      <c r="Q2073" s="28" t="s">
        <v>254</v>
      </c>
    </row>
    <row r="2074" spans="14:17" x14ac:dyDescent="0.25">
      <c r="N2074" s="28" t="s">
        <v>1006</v>
      </c>
      <c r="Q2074" s="28" t="s">
        <v>255</v>
      </c>
    </row>
    <row r="2075" spans="14:17" x14ac:dyDescent="0.25">
      <c r="Q2075" s="28" t="s">
        <v>248</v>
      </c>
    </row>
    <row r="2076" spans="14:17" x14ac:dyDescent="0.25">
      <c r="N2076" s="28" t="s">
        <v>1126</v>
      </c>
      <c r="Q2076" s="28" t="s">
        <v>246</v>
      </c>
    </row>
    <row r="2077" spans="14:17" x14ac:dyDescent="0.25">
      <c r="Q2077" s="28" t="s">
        <v>256</v>
      </c>
    </row>
    <row r="2078" spans="14:17" x14ac:dyDescent="0.25">
      <c r="N2078" s="28" t="s">
        <v>1182</v>
      </c>
    </row>
    <row r="2079" spans="14:17" x14ac:dyDescent="0.25">
      <c r="Q2079" s="28" t="s">
        <v>265</v>
      </c>
    </row>
    <row r="2080" spans="14:17" x14ac:dyDescent="0.25">
      <c r="N2080" s="28" t="s">
        <v>244</v>
      </c>
      <c r="Q2080" s="28" t="s">
        <v>266</v>
      </c>
    </row>
    <row r="2081" spans="14:17" x14ac:dyDescent="0.25">
      <c r="Q2081" s="28" t="s">
        <v>267</v>
      </c>
    </row>
    <row r="2082" spans="14:17" x14ac:dyDescent="0.25">
      <c r="N2082" s="28" t="s">
        <v>433</v>
      </c>
      <c r="Q2082" s="28" t="s">
        <v>268</v>
      </c>
    </row>
    <row r="2084" spans="14:17" x14ac:dyDescent="0.25">
      <c r="N2084" s="28" t="s">
        <v>285</v>
      </c>
      <c r="Q2084" s="28" t="s">
        <v>269</v>
      </c>
    </row>
    <row r="2085" spans="14:17" x14ac:dyDescent="0.25">
      <c r="Q2085" s="28" t="s">
        <v>270</v>
      </c>
    </row>
    <row r="2086" spans="14:17" x14ac:dyDescent="0.25">
      <c r="N2086" s="28" t="s">
        <v>285</v>
      </c>
      <c r="Q2086" s="28" t="s">
        <v>268</v>
      </c>
    </row>
    <row r="2087" spans="14:17" x14ac:dyDescent="0.25">
      <c r="Q2087" s="28" t="s">
        <v>267</v>
      </c>
    </row>
    <row r="2088" spans="14:17" x14ac:dyDescent="0.25">
      <c r="N2088" s="28" t="s">
        <v>864</v>
      </c>
      <c r="Q2088" s="28" t="s">
        <v>269</v>
      </c>
    </row>
    <row r="2089" spans="14:17" x14ac:dyDescent="0.25">
      <c r="Q2089" s="28" t="s">
        <v>265</v>
      </c>
    </row>
    <row r="2090" spans="14:17" x14ac:dyDescent="0.25">
      <c r="N2090" s="28" t="s">
        <v>285</v>
      </c>
      <c r="Q2090" s="28" t="s">
        <v>254</v>
      </c>
    </row>
    <row r="2092" spans="14:17" x14ac:dyDescent="0.25">
      <c r="N2092" s="28" t="s">
        <v>864</v>
      </c>
      <c r="Q2092" s="28" t="s">
        <v>271</v>
      </c>
    </row>
    <row r="2094" spans="14:17" x14ac:dyDescent="0.25">
      <c r="N2094" s="28" t="s">
        <v>433</v>
      </c>
      <c r="Q2094" s="28" t="s">
        <v>273</v>
      </c>
    </row>
    <row r="2095" spans="14:17" x14ac:dyDescent="0.25">
      <c r="Q2095" s="28" t="s">
        <v>274</v>
      </c>
    </row>
    <row r="2096" spans="14:17" x14ac:dyDescent="0.25">
      <c r="N2096" s="28" t="s">
        <v>285</v>
      </c>
      <c r="Q2096" s="28" t="s">
        <v>266</v>
      </c>
    </row>
    <row r="2097" spans="14:17" x14ac:dyDescent="0.25">
      <c r="Q2097" s="28" t="s">
        <v>275</v>
      </c>
    </row>
    <row r="2098" spans="14:17" x14ac:dyDescent="0.25">
      <c r="N2098" s="28" t="s">
        <v>285</v>
      </c>
    </row>
    <row r="2099" spans="14:17" x14ac:dyDescent="0.25">
      <c r="Q2099" s="28" t="s">
        <v>365</v>
      </c>
    </row>
    <row r="2100" spans="14:17" x14ac:dyDescent="0.25">
      <c r="N2100" s="28" t="s">
        <v>1112</v>
      </c>
    </row>
    <row r="2102" spans="14:17" x14ac:dyDescent="0.25">
      <c r="N2102" s="28" t="s">
        <v>419</v>
      </c>
    </row>
    <row r="2103" spans="14:17" x14ac:dyDescent="0.25">
      <c r="N2103" s="28" t="s">
        <v>545</v>
      </c>
    </row>
    <row r="2105" spans="14:17" x14ac:dyDescent="0.25">
      <c r="N2105" s="28" t="s">
        <v>285</v>
      </c>
    </row>
    <row r="2107" spans="14:17" x14ac:dyDescent="0.25">
      <c r="N2107" s="28" t="s">
        <v>687</v>
      </c>
    </row>
    <row r="2108" spans="14:17" x14ac:dyDescent="0.25">
      <c r="N2108" s="28" t="s">
        <v>711</v>
      </c>
    </row>
    <row r="2110" spans="14:17" x14ac:dyDescent="0.25">
      <c r="N2110" s="28" t="s">
        <v>678</v>
      </c>
    </row>
    <row r="2111" spans="14:17" x14ac:dyDescent="0.25">
      <c r="N2111" s="28" t="s">
        <v>982</v>
      </c>
    </row>
    <row r="2113" spans="14:14" x14ac:dyDescent="0.25">
      <c r="N2113" s="28" t="s">
        <v>1112</v>
      </c>
    </row>
    <row r="2115" spans="14:14" x14ac:dyDescent="0.25">
      <c r="N2115" s="28" t="s">
        <v>212</v>
      </c>
    </row>
    <row r="2117" spans="14:14" x14ac:dyDescent="0.25">
      <c r="N2117" s="28" t="s">
        <v>419</v>
      </c>
    </row>
    <row r="2118" spans="14:14" x14ac:dyDescent="0.25">
      <c r="N2118" s="28" t="s">
        <v>545</v>
      </c>
    </row>
    <row r="2120" spans="14:14" x14ac:dyDescent="0.25">
      <c r="N2120" s="28" t="s">
        <v>160</v>
      </c>
    </row>
    <row r="2122" spans="14:14" x14ac:dyDescent="0.25">
      <c r="N2122" s="28" t="s">
        <v>1113</v>
      </c>
    </row>
    <row r="2124" spans="14:14" x14ac:dyDescent="0.25">
      <c r="N2124" s="28" t="s">
        <v>1005</v>
      </c>
    </row>
    <row r="2125" spans="14:14" x14ac:dyDescent="0.25">
      <c r="N2125" s="28" t="s">
        <v>930</v>
      </c>
    </row>
    <row r="2126" spans="14:14" x14ac:dyDescent="0.25">
      <c r="N2126" s="28" t="s">
        <v>1276</v>
      </c>
    </row>
    <row r="2128" spans="14:14" x14ac:dyDescent="0.25">
      <c r="N2128" s="28" t="s">
        <v>212</v>
      </c>
    </row>
    <row r="2130" spans="14:14" x14ac:dyDescent="0.25">
      <c r="N2130" s="28" t="s">
        <v>160</v>
      </c>
    </row>
    <row r="2132" spans="14:14" x14ac:dyDescent="0.25">
      <c r="N2132" s="28" t="s">
        <v>989</v>
      </c>
    </row>
    <row r="2133" spans="14:14" x14ac:dyDescent="0.25">
      <c r="N2133" s="28" t="s">
        <v>930</v>
      </c>
    </row>
    <row r="2135" spans="14:14" x14ac:dyDescent="0.25">
      <c r="N2135" s="28" t="s">
        <v>212</v>
      </c>
    </row>
    <row r="2137" spans="14:14" x14ac:dyDescent="0.25">
      <c r="N2137" s="28" t="s">
        <v>285</v>
      </c>
    </row>
    <row r="2139" spans="14:14" x14ac:dyDescent="0.25">
      <c r="N2139" s="28" t="s">
        <v>212</v>
      </c>
    </row>
    <row r="2141" spans="14:14" x14ac:dyDescent="0.25">
      <c r="N2141" s="28" t="s">
        <v>562</v>
      </c>
    </row>
    <row r="2143" spans="14:14" x14ac:dyDescent="0.25">
      <c r="N2143" s="28" t="s">
        <v>433</v>
      </c>
    </row>
    <row r="2145" spans="14:14" x14ac:dyDescent="0.25">
      <c r="N2145" s="28" t="s">
        <v>244</v>
      </c>
    </row>
    <row r="2147" spans="14:14" x14ac:dyDescent="0.25">
      <c r="N2147" s="28" t="s">
        <v>285</v>
      </c>
    </row>
    <row r="2149" spans="14:14" x14ac:dyDescent="0.25">
      <c r="N2149" s="28" t="s">
        <v>941</v>
      </c>
    </row>
    <row r="2151" spans="14:14" x14ac:dyDescent="0.25">
      <c r="N2151" s="28" t="s">
        <v>891</v>
      </c>
    </row>
    <row r="2152" spans="14:14" x14ac:dyDescent="0.25">
      <c r="N2152" s="28" t="s">
        <v>892</v>
      </c>
    </row>
    <row r="2154" spans="14:14" x14ac:dyDescent="0.25">
      <c r="N2154" s="28" t="s">
        <v>779</v>
      </c>
    </row>
    <row r="2155" spans="14:14" x14ac:dyDescent="0.25">
      <c r="N2155" s="28" t="s">
        <v>778</v>
      </c>
    </row>
    <row r="2157" spans="14:14" x14ac:dyDescent="0.25">
      <c r="N2157" s="28" t="s">
        <v>1277</v>
      </c>
    </row>
    <row r="2159" spans="14:14" x14ac:dyDescent="0.25">
      <c r="N2159" s="28" t="s">
        <v>785</v>
      </c>
    </row>
    <row r="2161" spans="14:14" x14ac:dyDescent="0.25">
      <c r="N2161" s="28" t="s">
        <v>894</v>
      </c>
    </row>
    <row r="2163" spans="14:14" x14ac:dyDescent="0.25">
      <c r="N2163" s="28" t="s">
        <v>895</v>
      </c>
    </row>
    <row r="2165" spans="14:14" x14ac:dyDescent="0.25">
      <c r="N2165" s="28" t="s">
        <v>896</v>
      </c>
    </row>
    <row r="2167" spans="14:14" x14ac:dyDescent="0.25">
      <c r="N2167" s="28" t="s">
        <v>897</v>
      </c>
    </row>
    <row r="2169" spans="14:14" x14ac:dyDescent="0.25">
      <c r="N2169" s="28" t="s">
        <v>898</v>
      </c>
    </row>
    <row r="2171" spans="14:14" x14ac:dyDescent="0.25">
      <c r="N2171" s="28" t="s">
        <v>899</v>
      </c>
    </row>
    <row r="2173" spans="14:14" x14ac:dyDescent="0.25">
      <c r="N2173" s="28" t="s">
        <v>900</v>
      </c>
    </row>
    <row r="2175" spans="14:14" x14ac:dyDescent="0.25">
      <c r="N2175" s="28" t="s">
        <v>901</v>
      </c>
    </row>
    <row r="2177" spans="14:14" x14ac:dyDescent="0.25">
      <c r="N2177" s="28" t="s">
        <v>902</v>
      </c>
    </row>
    <row r="2179" spans="14:14" x14ac:dyDescent="0.25">
      <c r="N2179" s="28" t="s">
        <v>903</v>
      </c>
    </row>
    <row r="2181" spans="14:14" x14ac:dyDescent="0.25">
      <c r="N2181" s="28" t="s">
        <v>1242</v>
      </c>
    </row>
    <row r="2183" spans="14:14" x14ac:dyDescent="0.25">
      <c r="N2183" s="28" t="s">
        <v>77</v>
      </c>
    </row>
    <row r="2185" spans="14:14" x14ac:dyDescent="0.25">
      <c r="N2185" s="28" t="s">
        <v>972</v>
      </c>
    </row>
    <row r="2187" spans="14:14" x14ac:dyDescent="0.25">
      <c r="N2187" s="28" t="s">
        <v>905</v>
      </c>
    </row>
    <row r="2188" spans="14:14" x14ac:dyDescent="0.25">
      <c r="N2188" s="28" t="s">
        <v>1187</v>
      </c>
    </row>
    <row r="2190" spans="14:14" x14ac:dyDescent="0.25">
      <c r="N2190" s="28" t="s">
        <v>326</v>
      </c>
    </row>
    <row r="2191" spans="14:14" x14ac:dyDescent="0.25">
      <c r="N2191" s="28" t="s">
        <v>899</v>
      </c>
    </row>
    <row r="2193" spans="14:14" x14ac:dyDescent="0.25">
      <c r="N2193" s="28" t="s">
        <v>82</v>
      </c>
    </row>
    <row r="2195" spans="14:14" x14ac:dyDescent="0.25">
      <c r="N2195" s="28" t="s">
        <v>906</v>
      </c>
    </row>
    <row r="2196" spans="14:14" x14ac:dyDescent="0.25">
      <c r="N2196" s="28" t="s">
        <v>907</v>
      </c>
    </row>
    <row r="2198" spans="14:14" x14ac:dyDescent="0.25">
      <c r="N2198" s="28" t="s">
        <v>420</v>
      </c>
    </row>
    <row r="2200" spans="14:14" x14ac:dyDescent="0.25">
      <c r="N2200" s="28" t="s">
        <v>908</v>
      </c>
    </row>
    <row r="2202" spans="14:14" x14ac:dyDescent="0.25">
      <c r="N2202" s="28" t="s">
        <v>809</v>
      </c>
    </row>
    <row r="2203" spans="14:14" x14ac:dyDescent="0.25">
      <c r="N2203" s="28" t="s">
        <v>810</v>
      </c>
    </row>
    <row r="2204" spans="14:14" x14ac:dyDescent="0.25">
      <c r="N2204" s="28" t="s">
        <v>811</v>
      </c>
    </row>
    <row r="2205" spans="14:14" x14ac:dyDescent="0.25">
      <c r="N2205" s="28" t="s">
        <v>812</v>
      </c>
    </row>
    <row r="2206" spans="14:14" x14ac:dyDescent="0.25">
      <c r="N2206" s="28" t="s">
        <v>809</v>
      </c>
    </row>
    <row r="2207" spans="14:14" x14ac:dyDescent="0.25">
      <c r="N2207" s="28" t="s">
        <v>813</v>
      </c>
    </row>
    <row r="2208" spans="14:14" x14ac:dyDescent="0.25">
      <c r="N2208" s="28" t="s">
        <v>811</v>
      </c>
    </row>
    <row r="2209" spans="14:14" x14ac:dyDescent="0.25">
      <c r="N2209" s="28" t="s">
        <v>814</v>
      </c>
    </row>
    <row r="2210" spans="14:14" x14ac:dyDescent="0.25">
      <c r="N2210" s="28" t="s">
        <v>815</v>
      </c>
    </row>
    <row r="2211" spans="14:14" x14ac:dyDescent="0.25">
      <c r="N2211" s="28" t="s">
        <v>809</v>
      </c>
    </row>
    <row r="2212" spans="14:14" x14ac:dyDescent="0.25">
      <c r="N2212" s="28" t="s">
        <v>816</v>
      </c>
    </row>
    <row r="2214" spans="14:14" x14ac:dyDescent="0.25">
      <c r="N2214" s="28" t="s">
        <v>909</v>
      </c>
    </row>
    <row r="2215" spans="14:14" x14ac:dyDescent="0.25">
      <c r="N2215" s="28" t="s">
        <v>910</v>
      </c>
    </row>
    <row r="2217" spans="14:14" x14ac:dyDescent="0.25">
      <c r="N2217" s="28" t="s">
        <v>810</v>
      </c>
    </row>
    <row r="2219" spans="14:14" x14ac:dyDescent="0.25">
      <c r="N2219" s="28" t="s">
        <v>811</v>
      </c>
    </row>
    <row r="2220" spans="14:14" x14ac:dyDescent="0.25">
      <c r="N2220" s="28" t="s">
        <v>820</v>
      </c>
    </row>
    <row r="2221" spans="14:14" x14ac:dyDescent="0.25">
      <c r="N2221" s="28" t="s">
        <v>821</v>
      </c>
    </row>
    <row r="2223" spans="14:14" x14ac:dyDescent="0.25">
      <c r="N2223" s="28" t="s">
        <v>811</v>
      </c>
    </row>
    <row r="2224" spans="14:14" x14ac:dyDescent="0.25">
      <c r="N2224" s="28" t="s">
        <v>822</v>
      </c>
    </row>
    <row r="2225" spans="14:14" x14ac:dyDescent="0.25">
      <c r="N2225" s="28" t="s">
        <v>811</v>
      </c>
    </row>
    <row r="2227" spans="14:14" x14ac:dyDescent="0.25">
      <c r="N2227" s="28" t="s">
        <v>911</v>
      </c>
    </row>
    <row r="2229" spans="14:14" x14ac:dyDescent="0.25">
      <c r="N2229" s="28" t="s">
        <v>823</v>
      </c>
    </row>
    <row r="2230" spans="14:14" x14ac:dyDescent="0.25">
      <c r="N2230" s="28" t="s">
        <v>809</v>
      </c>
    </row>
    <row r="2231" spans="14:14" x14ac:dyDescent="0.25">
      <c r="N2231" s="28" t="s">
        <v>826</v>
      </c>
    </row>
    <row r="2233" spans="14:14" x14ac:dyDescent="0.25">
      <c r="N2233" s="28" t="s">
        <v>827</v>
      </c>
    </row>
    <row r="2234" spans="14:14" x14ac:dyDescent="0.25">
      <c r="N2234" s="28" t="s">
        <v>823</v>
      </c>
    </row>
    <row r="2235" spans="14:14" x14ac:dyDescent="0.25">
      <c r="N2235" s="28" t="s">
        <v>809</v>
      </c>
    </row>
    <row r="2237" spans="14:14" x14ac:dyDescent="0.25">
      <c r="N2237" s="28" t="s">
        <v>912</v>
      </c>
    </row>
    <row r="2239" spans="14:14" x14ac:dyDescent="0.25">
      <c r="N2239" s="28" t="s">
        <v>810</v>
      </c>
    </row>
    <row r="2240" spans="14:14" x14ac:dyDescent="0.25">
      <c r="N2240" s="28" t="s">
        <v>818</v>
      </c>
    </row>
    <row r="2242" spans="14:14" x14ac:dyDescent="0.25">
      <c r="N2242" s="28" t="s">
        <v>265</v>
      </c>
    </row>
    <row r="2243" spans="14:14" x14ac:dyDescent="0.25">
      <c r="N2243" s="28" t="s">
        <v>266</v>
      </c>
    </row>
    <row r="2244" spans="14:14" x14ac:dyDescent="0.25">
      <c r="N2244" s="28" t="s">
        <v>267</v>
      </c>
    </row>
    <row r="2245" spans="14:14" x14ac:dyDescent="0.25">
      <c r="N2245" s="28" t="s">
        <v>268</v>
      </c>
    </row>
    <row r="2247" spans="14:14" x14ac:dyDescent="0.25">
      <c r="N2247" s="28" t="s">
        <v>269</v>
      </c>
    </row>
    <row r="2248" spans="14:14" x14ac:dyDescent="0.25">
      <c r="N2248" s="28" t="s">
        <v>270</v>
      </c>
    </row>
    <row r="2249" spans="14:14" x14ac:dyDescent="0.25">
      <c r="N2249" s="28" t="s">
        <v>268</v>
      </c>
    </row>
    <row r="2250" spans="14:14" x14ac:dyDescent="0.25">
      <c r="N2250" s="28" t="s">
        <v>267</v>
      </c>
    </row>
    <row r="2251" spans="14:14" x14ac:dyDescent="0.25">
      <c r="N2251" s="28" t="s">
        <v>269</v>
      </c>
    </row>
    <row r="2252" spans="14:14" x14ac:dyDescent="0.25">
      <c r="N2252" s="28" t="s">
        <v>265</v>
      </c>
    </row>
    <row r="2253" spans="14:14" x14ac:dyDescent="0.25">
      <c r="N2253" s="28" t="s">
        <v>254</v>
      </c>
    </row>
    <row r="2255" spans="14:14" x14ac:dyDescent="0.25">
      <c r="N2255" s="28" t="s">
        <v>271</v>
      </c>
    </row>
    <row r="2257" spans="14:14" x14ac:dyDescent="0.25">
      <c r="N2257" s="28" t="s">
        <v>273</v>
      </c>
    </row>
    <row r="2258" spans="14:14" x14ac:dyDescent="0.25">
      <c r="N2258" s="28" t="s">
        <v>274</v>
      </c>
    </row>
    <row r="2259" spans="14:14" x14ac:dyDescent="0.25">
      <c r="N2259" s="28" t="s">
        <v>266</v>
      </c>
    </row>
    <row r="2260" spans="14:14" x14ac:dyDescent="0.25">
      <c r="N2260" s="28" t="s">
        <v>275</v>
      </c>
    </row>
    <row r="2262" spans="14:14" x14ac:dyDescent="0.25">
      <c r="N2262" s="28" t="s">
        <v>878</v>
      </c>
    </row>
    <row r="2263" spans="14:14" x14ac:dyDescent="0.25">
      <c r="N2263" s="28" t="s">
        <v>705</v>
      </c>
    </row>
    <row r="2264" spans="14:14" x14ac:dyDescent="0.25">
      <c r="N2264" s="28" t="s">
        <v>1175</v>
      </c>
    </row>
    <row r="2266" spans="14:14" x14ac:dyDescent="0.25">
      <c r="N2266" s="28" t="s">
        <v>914</v>
      </c>
    </row>
    <row r="2268" spans="14:14" x14ac:dyDescent="0.25">
      <c r="N2268" s="28" t="s">
        <v>880</v>
      </c>
    </row>
    <row r="2269" spans="14:14" x14ac:dyDescent="0.25">
      <c r="N2269" s="28" t="s">
        <v>881</v>
      </c>
    </row>
    <row r="2270" spans="14:14" x14ac:dyDescent="0.25">
      <c r="N2270" s="28" t="s">
        <v>882</v>
      </c>
    </row>
    <row r="2272" spans="14:14" x14ac:dyDescent="0.25">
      <c r="N2272" s="28" t="s">
        <v>883</v>
      </c>
    </row>
    <row r="2274" spans="14:14" x14ac:dyDescent="0.25">
      <c r="N2274" s="28" t="s">
        <v>884</v>
      </c>
    </row>
    <row r="2276" spans="14:14" x14ac:dyDescent="0.25">
      <c r="N2276" s="28" t="s">
        <v>885</v>
      </c>
    </row>
    <row r="2278" spans="14:14" x14ac:dyDescent="0.25">
      <c r="N2278" s="28" t="s">
        <v>687</v>
      </c>
    </row>
    <row r="2279" spans="14:14" x14ac:dyDescent="0.25">
      <c r="N2279" s="28" t="s">
        <v>1075</v>
      </c>
    </row>
    <row r="2281" spans="14:14" x14ac:dyDescent="0.25">
      <c r="N2281" s="28" t="s">
        <v>886</v>
      </c>
    </row>
    <row r="2283" spans="14:14" x14ac:dyDescent="0.25">
      <c r="N2283" s="28" t="s">
        <v>205</v>
      </c>
    </row>
    <row r="2285" spans="14:14" x14ac:dyDescent="0.25">
      <c r="N2285" s="28" t="s">
        <v>887</v>
      </c>
    </row>
    <row r="2286" spans="14:14" x14ac:dyDescent="0.25">
      <c r="N2286" s="28" t="s">
        <v>888</v>
      </c>
    </row>
    <row r="2287" spans="14:14" x14ac:dyDescent="0.25">
      <c r="N2287" s="28" t="s">
        <v>716</v>
      </c>
    </row>
    <row r="2289" spans="14:14" x14ac:dyDescent="0.25">
      <c r="N2289" s="28" t="s">
        <v>889</v>
      </c>
    </row>
    <row r="2290" spans="14:14" x14ac:dyDescent="0.25">
      <c r="N2290" s="28" t="s">
        <v>716</v>
      </c>
    </row>
    <row r="2292" spans="14:14" x14ac:dyDescent="0.25">
      <c r="N2292" s="28" t="s">
        <v>722</v>
      </c>
    </row>
    <row r="2294" spans="14:14" x14ac:dyDescent="0.25">
      <c r="N2294" s="28" t="s">
        <v>160</v>
      </c>
    </row>
    <row r="2296" spans="14:14" x14ac:dyDescent="0.25">
      <c r="N2296" s="28" t="s">
        <v>243</v>
      </c>
    </row>
    <row r="2298" spans="14:14" x14ac:dyDescent="0.25">
      <c r="N2298" s="28" t="s">
        <v>160</v>
      </c>
    </row>
    <row r="2299" spans="14:14" x14ac:dyDescent="0.25">
      <c r="N2299" s="28" t="s">
        <v>212</v>
      </c>
    </row>
    <row r="2301" spans="14:14" x14ac:dyDescent="0.25">
      <c r="N2301" s="28" t="s">
        <v>244</v>
      </c>
    </row>
    <row r="2303" spans="14:14" x14ac:dyDescent="0.25">
      <c r="N2303" s="28" t="s">
        <v>1105</v>
      </c>
    </row>
    <row r="2304" spans="14:14" x14ac:dyDescent="0.25">
      <c r="N2304" s="28" t="s">
        <v>927</v>
      </c>
    </row>
    <row r="2306" spans="14:14" x14ac:dyDescent="0.25">
      <c r="N2306" s="28" t="s">
        <v>722</v>
      </c>
    </row>
    <row r="2308" spans="14:14" x14ac:dyDescent="0.25">
      <c r="N2308" s="28" t="s">
        <v>809</v>
      </c>
    </row>
    <row r="2309" spans="14:14" x14ac:dyDescent="0.25">
      <c r="N2309" s="28" t="s">
        <v>810</v>
      </c>
    </row>
    <row r="2310" spans="14:14" x14ac:dyDescent="0.25">
      <c r="N2310" s="28" t="s">
        <v>811</v>
      </c>
    </row>
    <row r="2311" spans="14:14" x14ac:dyDescent="0.25">
      <c r="N2311" s="28" t="s">
        <v>812</v>
      </c>
    </row>
    <row r="2312" spans="14:14" x14ac:dyDescent="0.25">
      <c r="N2312" s="28" t="s">
        <v>809</v>
      </c>
    </row>
    <row r="2313" spans="14:14" x14ac:dyDescent="0.25">
      <c r="N2313" s="28" t="s">
        <v>813</v>
      </c>
    </row>
    <row r="2314" spans="14:14" x14ac:dyDescent="0.25">
      <c r="N2314" s="28" t="s">
        <v>811</v>
      </c>
    </row>
    <row r="2315" spans="14:14" x14ac:dyDescent="0.25">
      <c r="N2315" s="28" t="s">
        <v>814</v>
      </c>
    </row>
    <row r="2316" spans="14:14" x14ac:dyDescent="0.25">
      <c r="N2316" s="28" t="s">
        <v>815</v>
      </c>
    </row>
    <row r="2317" spans="14:14" x14ac:dyDescent="0.25">
      <c r="N2317" s="28" t="s">
        <v>809</v>
      </c>
    </row>
    <row r="2318" spans="14:14" x14ac:dyDescent="0.25">
      <c r="N2318" s="28" t="s">
        <v>816</v>
      </c>
    </row>
    <row r="2320" spans="14:14" x14ac:dyDescent="0.25">
      <c r="N2320" s="28" t="s">
        <v>909</v>
      </c>
    </row>
    <row r="2321" spans="14:14" x14ac:dyDescent="0.25">
      <c r="N2321" s="28" t="s">
        <v>910</v>
      </c>
    </row>
    <row r="2323" spans="14:14" x14ac:dyDescent="0.25">
      <c r="N2323" s="28" t="s">
        <v>810</v>
      </c>
    </row>
    <row r="2325" spans="14:14" x14ac:dyDescent="0.25">
      <c r="N2325" s="28" t="s">
        <v>811</v>
      </c>
    </row>
    <row r="2326" spans="14:14" x14ac:dyDescent="0.25">
      <c r="N2326" s="28" t="s">
        <v>820</v>
      </c>
    </row>
    <row r="2327" spans="14:14" x14ac:dyDescent="0.25">
      <c r="N2327" s="28" t="s">
        <v>821</v>
      </c>
    </row>
    <row r="2329" spans="14:14" x14ac:dyDescent="0.25">
      <c r="N2329" s="28" t="s">
        <v>811</v>
      </c>
    </row>
    <row r="2330" spans="14:14" x14ac:dyDescent="0.25">
      <c r="N2330" s="28" t="s">
        <v>822</v>
      </c>
    </row>
    <row r="2331" spans="14:14" x14ac:dyDescent="0.25">
      <c r="N2331" s="28" t="s">
        <v>811</v>
      </c>
    </row>
    <row r="2333" spans="14:14" x14ac:dyDescent="0.25">
      <c r="N2333" s="28" t="s">
        <v>911</v>
      </c>
    </row>
    <row r="2335" spans="14:14" x14ac:dyDescent="0.25">
      <c r="N2335" s="28" t="s">
        <v>823</v>
      </c>
    </row>
    <row r="2336" spans="14:14" x14ac:dyDescent="0.25">
      <c r="N2336" s="28" t="s">
        <v>809</v>
      </c>
    </row>
    <row r="2337" spans="14:14" x14ac:dyDescent="0.25">
      <c r="N2337" s="28" t="s">
        <v>826</v>
      </c>
    </row>
    <row r="2339" spans="14:14" x14ac:dyDescent="0.25">
      <c r="N2339" s="28" t="s">
        <v>827</v>
      </c>
    </row>
    <row r="2340" spans="14:14" x14ac:dyDescent="0.25">
      <c r="N2340" s="28" t="s">
        <v>823</v>
      </c>
    </row>
    <row r="2341" spans="14:14" x14ac:dyDescent="0.25">
      <c r="N2341" s="28" t="s">
        <v>809</v>
      </c>
    </row>
    <row r="2343" spans="14:14" x14ac:dyDescent="0.25">
      <c r="N2343" s="28" t="s">
        <v>912</v>
      </c>
    </row>
    <row r="2345" spans="14:14" x14ac:dyDescent="0.25">
      <c r="N2345" s="28" t="s">
        <v>810</v>
      </c>
    </row>
    <row r="2346" spans="14:14" x14ac:dyDescent="0.25">
      <c r="N2346" s="28" t="s">
        <v>818</v>
      </c>
    </row>
    <row r="2348" spans="14:14" x14ac:dyDescent="0.25">
      <c r="N2348" s="28" t="s">
        <v>265</v>
      </c>
    </row>
    <row r="2349" spans="14:14" x14ac:dyDescent="0.25">
      <c r="N2349" s="28" t="s">
        <v>266</v>
      </c>
    </row>
    <row r="2350" spans="14:14" x14ac:dyDescent="0.25">
      <c r="N2350" s="28" t="s">
        <v>267</v>
      </c>
    </row>
    <row r="2351" spans="14:14" x14ac:dyDescent="0.25">
      <c r="N2351" s="28" t="s">
        <v>268</v>
      </c>
    </row>
    <row r="2353" spans="14:14" x14ac:dyDescent="0.25">
      <c r="N2353" s="28" t="s">
        <v>269</v>
      </c>
    </row>
    <row r="2354" spans="14:14" x14ac:dyDescent="0.25">
      <c r="N2354" s="28" t="s">
        <v>270</v>
      </c>
    </row>
    <row r="2355" spans="14:14" x14ac:dyDescent="0.25">
      <c r="N2355" s="28" t="s">
        <v>268</v>
      </c>
    </row>
    <row r="2356" spans="14:14" x14ac:dyDescent="0.25">
      <c r="N2356" s="28" t="s">
        <v>267</v>
      </c>
    </row>
    <row r="2357" spans="14:14" x14ac:dyDescent="0.25">
      <c r="N2357" s="28" t="s">
        <v>269</v>
      </c>
    </row>
    <row r="2358" spans="14:14" x14ac:dyDescent="0.25">
      <c r="N2358" s="28" t="s">
        <v>265</v>
      </c>
    </row>
    <row r="2359" spans="14:14" x14ac:dyDescent="0.25">
      <c r="N2359" s="28" t="s">
        <v>254</v>
      </c>
    </row>
    <row r="2361" spans="14:14" x14ac:dyDescent="0.25">
      <c r="N2361" s="28" t="s">
        <v>271</v>
      </c>
    </row>
    <row r="2363" spans="14:14" x14ac:dyDescent="0.25">
      <c r="N2363" s="28" t="s">
        <v>273</v>
      </c>
    </row>
    <row r="2364" spans="14:14" x14ac:dyDescent="0.25">
      <c r="N2364" s="28" t="s">
        <v>274</v>
      </c>
    </row>
    <row r="2365" spans="14:14" x14ac:dyDescent="0.25">
      <c r="N2365" s="28" t="s">
        <v>266</v>
      </c>
    </row>
    <row r="2366" spans="14:14" x14ac:dyDescent="0.25">
      <c r="N2366" s="28" t="s">
        <v>275</v>
      </c>
    </row>
    <row r="2368" spans="14:14" x14ac:dyDescent="0.25">
      <c r="N2368" s="28" t="s">
        <v>891</v>
      </c>
    </row>
    <row r="2369" spans="14:14" x14ac:dyDescent="0.25">
      <c r="N2369" s="28" t="s">
        <v>892</v>
      </c>
    </row>
    <row r="2371" spans="14:14" x14ac:dyDescent="0.25">
      <c r="N2371" s="28" t="s">
        <v>779</v>
      </c>
    </row>
    <row r="2372" spans="14:14" x14ac:dyDescent="0.25">
      <c r="N2372" s="28" t="s">
        <v>778</v>
      </c>
    </row>
    <row r="2374" spans="14:14" x14ac:dyDescent="0.25">
      <c r="N2374" s="28" t="s">
        <v>1278</v>
      </c>
    </row>
    <row r="2376" spans="14:14" x14ac:dyDescent="0.25">
      <c r="N2376" s="28" t="s">
        <v>785</v>
      </c>
    </row>
    <row r="2378" spans="14:14" x14ac:dyDescent="0.25">
      <c r="N2378" s="28" t="s">
        <v>894</v>
      </c>
    </row>
    <row r="2380" spans="14:14" x14ac:dyDescent="0.25">
      <c r="N2380" s="28" t="s">
        <v>895</v>
      </c>
    </row>
    <row r="2382" spans="14:14" x14ac:dyDescent="0.25">
      <c r="N2382" s="28" t="s">
        <v>896</v>
      </c>
    </row>
    <row r="2384" spans="14:14" x14ac:dyDescent="0.25">
      <c r="N2384" s="28" t="s">
        <v>897</v>
      </c>
    </row>
    <row r="2386" spans="14:14" x14ac:dyDescent="0.25">
      <c r="N2386" s="28" t="s">
        <v>898</v>
      </c>
    </row>
    <row r="2388" spans="14:14" x14ac:dyDescent="0.25">
      <c r="N2388" s="28" t="s">
        <v>899</v>
      </c>
    </row>
    <row r="2390" spans="14:14" x14ac:dyDescent="0.25">
      <c r="N2390" s="28" t="s">
        <v>900</v>
      </c>
    </row>
    <row r="2392" spans="14:14" x14ac:dyDescent="0.25">
      <c r="N2392" s="28" t="s">
        <v>901</v>
      </c>
    </row>
    <row r="2394" spans="14:14" x14ac:dyDescent="0.25">
      <c r="N2394" s="28" t="s">
        <v>902</v>
      </c>
    </row>
    <row r="2396" spans="14:14" x14ac:dyDescent="0.25">
      <c r="N2396" s="28" t="s">
        <v>903</v>
      </c>
    </row>
    <row r="2398" spans="14:14" x14ac:dyDescent="0.25">
      <c r="N2398" s="28" t="s">
        <v>1242</v>
      </c>
    </row>
    <row r="2400" spans="14:14" x14ac:dyDescent="0.25">
      <c r="N2400" s="28" t="s">
        <v>77</v>
      </c>
    </row>
    <row r="2402" spans="14:14" x14ac:dyDescent="0.25">
      <c r="N2402" s="28" t="s">
        <v>972</v>
      </c>
    </row>
    <row r="2404" spans="14:14" x14ac:dyDescent="0.25">
      <c r="N2404" s="28" t="s">
        <v>905</v>
      </c>
    </row>
    <row r="2405" spans="14:14" x14ac:dyDescent="0.25">
      <c r="N2405" s="28" t="s">
        <v>1187</v>
      </c>
    </row>
    <row r="2407" spans="14:14" x14ac:dyDescent="0.25">
      <c r="N2407" s="28" t="s">
        <v>326</v>
      </c>
    </row>
    <row r="2408" spans="14:14" x14ac:dyDescent="0.25">
      <c r="N2408" s="28" t="s">
        <v>899</v>
      </c>
    </row>
    <row r="2410" spans="14:14" x14ac:dyDescent="0.25">
      <c r="N2410" s="28" t="s">
        <v>82</v>
      </c>
    </row>
    <row r="2412" spans="14:14" x14ac:dyDescent="0.25">
      <c r="N2412" s="28" t="s">
        <v>906</v>
      </c>
    </row>
    <row r="2413" spans="14:14" x14ac:dyDescent="0.25">
      <c r="N2413" s="28" t="s">
        <v>907</v>
      </c>
    </row>
    <row r="2415" spans="14:14" x14ac:dyDescent="0.25">
      <c r="N2415" s="28" t="s">
        <v>545</v>
      </c>
    </row>
    <row r="2417" spans="14:14" x14ac:dyDescent="0.25">
      <c r="N2417" s="28" t="s">
        <v>908</v>
      </c>
    </row>
    <row r="2419" spans="14:14" x14ac:dyDescent="0.25">
      <c r="N2419" s="28" t="s">
        <v>365</v>
      </c>
    </row>
  </sheetData>
  <sheetProtection formatCells="0" formatColumns="0" formatRows="0" insertColumns="0" insertRows="0" insertHyperlinks="0" deleteColumns="0" deleteRows="0" selectLockedCells="1" sort="0" autoFilter="0" pivotTables="0"/>
  <dataConsolidate/>
  <phoneticPr fontId="18" type="noConversion"/>
  <conditionalFormatting sqref="C4:AD4">
    <cfRule type="expression" dxfId="32" priority="3">
      <formula>C$4="SUCCESFULLY EXPORTED"</formula>
    </cfRule>
  </conditionalFormatting>
  <conditionalFormatting sqref="AE4">
    <cfRule type="expression" dxfId="31" priority="1">
      <formula>AE$4="SUCCESFULLY EXPORTED"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S75"/>
  <sheetViews>
    <sheetView tabSelected="1" zoomScale="70" zoomScaleNormal="70" workbookViewId="0">
      <selection activeCell="B33" sqref="B33"/>
    </sheetView>
  </sheetViews>
  <sheetFormatPr defaultColWidth="9.140625" defaultRowHeight="15" x14ac:dyDescent="0.25"/>
  <cols>
    <col min="1" max="1" width="47.5703125" style="10" bestFit="1" customWidth="1"/>
    <col min="2" max="2" width="26.42578125" style="10" bestFit="1" customWidth="1"/>
    <col min="3" max="3" width="51.140625" style="10" bestFit="1" customWidth="1"/>
    <col min="4" max="4" width="73.5703125" style="10" bestFit="1" customWidth="1"/>
    <col min="5" max="5" width="73.85546875" style="10" bestFit="1" customWidth="1"/>
    <col min="6" max="6" width="19.5703125" style="10" bestFit="1" customWidth="1"/>
    <col min="7" max="7" width="25.42578125" style="10" bestFit="1" customWidth="1"/>
    <col min="8" max="8" width="30" style="10" bestFit="1" customWidth="1"/>
    <col min="9" max="9" width="25.42578125" style="10" bestFit="1" customWidth="1"/>
    <col min="10" max="10" width="43.85546875" style="10" bestFit="1" customWidth="1"/>
    <col min="11" max="11" width="64.85546875" style="10" bestFit="1" customWidth="1"/>
    <col min="12" max="12" width="28.28515625" style="10" bestFit="1" customWidth="1"/>
    <col min="13" max="13" width="25.42578125" style="10" bestFit="1" customWidth="1"/>
    <col min="14" max="14" width="27.42578125" style="10" bestFit="1" customWidth="1"/>
    <col min="15" max="15" width="25.42578125" style="10" bestFit="1" customWidth="1"/>
    <col min="16" max="16" width="43.28515625" style="10" hidden="1" customWidth="1"/>
    <col min="17" max="17" width="50.140625" style="10" hidden="1" customWidth="1"/>
    <col min="18" max="18" width="26.85546875" style="10" bestFit="1" customWidth="1"/>
    <col min="19" max="19" width="25.42578125" style="10" bestFit="1" customWidth="1"/>
    <col min="20" max="20" width="55.42578125" style="10" bestFit="1" customWidth="1"/>
    <col min="21" max="21" width="47.5703125" style="10" bestFit="1" customWidth="1"/>
    <col min="22" max="22" width="18.42578125" style="10" bestFit="1" customWidth="1"/>
    <col min="23" max="16384" width="9.140625" style="10"/>
  </cols>
  <sheetData>
    <row r="1" spans="1:19" s="12" customFormat="1" ht="18" customHeight="1" thickBot="1" x14ac:dyDescent="0.3">
      <c r="A1" s="14">
        <v>28</v>
      </c>
      <c r="C1" s="18" t="s">
        <v>0</v>
      </c>
      <c r="D1" s="19">
        <v>8</v>
      </c>
      <c r="E1" s="20" t="s">
        <v>1</v>
      </c>
      <c r="F1" s="19">
        <v>20</v>
      </c>
      <c r="G1" s="17"/>
    </row>
    <row r="2" spans="1:19" ht="45.75" customHeight="1" thickBot="1" x14ac:dyDescent="0.3">
      <c r="A2" s="43" t="s">
        <v>18</v>
      </c>
      <c r="B2" s="45"/>
      <c r="C2" s="44"/>
      <c r="D2" s="43" t="s">
        <v>19</v>
      </c>
      <c r="E2" s="44"/>
      <c r="F2" s="43" t="s">
        <v>20</v>
      </c>
      <c r="G2" s="45"/>
      <c r="H2" s="43" t="s">
        <v>21</v>
      </c>
      <c r="I2" s="44"/>
      <c r="J2" s="43" t="s">
        <v>22</v>
      </c>
      <c r="K2" s="44"/>
      <c r="L2" s="45" t="s">
        <v>23</v>
      </c>
      <c r="M2" s="45"/>
      <c r="N2" s="43" t="s">
        <v>24</v>
      </c>
      <c r="O2" s="44"/>
      <c r="P2" s="45" t="s">
        <v>25</v>
      </c>
      <c r="Q2" s="45"/>
      <c r="R2" s="43" t="s">
        <v>26</v>
      </c>
      <c r="S2" s="44"/>
    </row>
    <row r="3" spans="1:19" s="11" customFormat="1" ht="38.25" thickBot="1" x14ac:dyDescent="0.3">
      <c r="A3" s="21" t="s">
        <v>16</v>
      </c>
      <c r="B3" s="22" t="s">
        <v>27</v>
      </c>
      <c r="C3" s="24" t="s">
        <v>28</v>
      </c>
      <c r="D3" s="21" t="s">
        <v>8</v>
      </c>
      <c r="E3" s="24" t="s">
        <v>29</v>
      </c>
      <c r="F3" s="23" t="s">
        <v>7</v>
      </c>
      <c r="G3" s="24" t="s">
        <v>30</v>
      </c>
      <c r="H3" s="21" t="s">
        <v>9</v>
      </c>
      <c r="I3" s="24" t="s">
        <v>31</v>
      </c>
      <c r="J3" s="21" t="s">
        <v>32</v>
      </c>
      <c r="K3" s="24" t="s">
        <v>33</v>
      </c>
      <c r="L3" s="23" t="s">
        <v>10</v>
      </c>
      <c r="M3" s="24" t="s">
        <v>34</v>
      </c>
      <c r="N3" s="21" t="s">
        <v>11</v>
      </c>
      <c r="O3" s="24" t="s">
        <v>35</v>
      </c>
      <c r="P3" s="23" t="s">
        <v>15</v>
      </c>
      <c r="Q3" s="24" t="s">
        <v>36</v>
      </c>
      <c r="R3" s="21" t="s">
        <v>17</v>
      </c>
      <c r="S3" s="24" t="s">
        <v>37</v>
      </c>
    </row>
    <row r="4" spans="1:19" s="38" customFormat="1" x14ac:dyDescent="0.25">
      <c r="A4" s="33" t="s">
        <v>51</v>
      </c>
      <c r="B4" s="41">
        <f>IFERROR(MATCH(GetTable[[#This Row],[Acrobat file]],GetFileNames[],0),"0")</f>
        <v>1</v>
      </c>
      <c r="C4" s="52" t="str" cm="1">
        <f t="array" ref="C4">getDocumentName(A4,B4)</f>
        <v>079322C-AWP1A-300-CS-KMD-06810-D-0728</v>
      </c>
      <c r="D4" s="33" t="s">
        <v>44</v>
      </c>
      <c r="E4" s="52" t="str">
        <f>getDocumentTitle(D4,B4)</f>
        <v>3-TMS-005-DA Deck A. Floor Beams --sha2-146</v>
      </c>
      <c r="F4" s="36" t="s">
        <v>43</v>
      </c>
      <c r="G4" s="52" t="str" cm="1">
        <f t="array" ref="G4">getDocumentRevision(F4,B4)</f>
        <v>01</v>
      </c>
      <c r="H4" s="32" t="s">
        <v>45</v>
      </c>
      <c r="I4" s="52" t="str" cm="1">
        <f t="array" ref="I4">getDocumentRevisionDate(H4,B4)</f>
        <v>26/07/2021</v>
      </c>
      <c r="J4" s="32" t="s">
        <v>38</v>
      </c>
      <c r="K4" s="55" t="str" cm="1">
        <f t="array" ref="K4">getDocumentRevisionDescription(J4,I4,B4)</f>
        <v>26.07.2021 IFC - Issued for Construction/Выпущено для строительства</v>
      </c>
      <c r="L4" s="32" t="s">
        <v>46</v>
      </c>
      <c r="M4" s="55" t="str" cm="1">
        <f t="array" ref="M4">getDocumentFormat(B4)</f>
        <v>A3</v>
      </c>
      <c r="N4" s="32">
        <v>1</v>
      </c>
      <c r="O4" s="55" t="str" cm="1">
        <f t="array" ref="O4">getDocumentSheetsQuantity(B4)</f>
        <v>1</v>
      </c>
      <c r="P4" s="32" t="s">
        <v>50</v>
      </c>
      <c r="Q4" s="58"/>
      <c r="R4" s="13" t="s">
        <v>52</v>
      </c>
      <c r="S4" s="42" t="str" cm="1">
        <f t="array" ref="S4">getDocumentDPNumber(R4,B4)</f>
        <v>3S5-DP18.2</v>
      </c>
    </row>
    <row r="5" spans="1:19" s="38" customFormat="1" x14ac:dyDescent="0.25">
      <c r="A5" s="46" t="s">
        <v>57</v>
      </c>
      <c r="B5" s="47">
        <f>IFERROR(MATCH(GetTable[[#This Row],[Acrobat file]],GetFileNames[],0),"0")</f>
        <v>2</v>
      </c>
      <c r="C5" s="53" t="str" cm="1">
        <f t="array" ref="C5">getDocumentName(A5,B5)</f>
        <v>079322C-AWP1A-300-CS-KMD-06810-M-0719</v>
      </c>
      <c r="D5" s="46" t="s">
        <v>54</v>
      </c>
      <c r="E5" s="53" t="str">
        <f>getDocumentTitle(D5,B5)</f>
        <v>3-TMS-005-DA Deck A. Floor Beams --H.3S5.SB-116-100</v>
      </c>
      <c r="F5" s="48" t="s">
        <v>43</v>
      </c>
      <c r="G5" s="53" t="str" cm="1">
        <f t="array" ref="G5">getDocumentRevision(F5,B5)</f>
        <v>01</v>
      </c>
      <c r="H5" s="49" t="s">
        <v>45</v>
      </c>
      <c r="I5" s="53" t="str" cm="1">
        <f t="array" ref="I5">getDocumentRevisionDate(H5,B5)</f>
        <v>26/07/2021</v>
      </c>
      <c r="J5" s="49" t="s">
        <v>38</v>
      </c>
      <c r="K5" s="56" t="str" cm="1">
        <f t="array" ref="K5">getDocumentRevisionDescription(J5,I5,B5)</f>
        <v>26.07.2021 IFC - Issued for Construction/Выпущено для строительства</v>
      </c>
      <c r="L5" s="49" t="s">
        <v>55</v>
      </c>
      <c r="M5" s="56" t="str" cm="1">
        <f t="array" ref="M5">getDocumentFormat(B5)</f>
        <v>A2</v>
      </c>
      <c r="N5" s="49">
        <v>1</v>
      </c>
      <c r="O5" s="56" t="str" cm="1">
        <f t="array" ref="O5">getDocumentSheetsQuantity(B5)</f>
        <v>1</v>
      </c>
      <c r="P5" s="49" t="s">
        <v>56</v>
      </c>
      <c r="Q5" s="58"/>
      <c r="R5" s="49" t="s">
        <v>52</v>
      </c>
      <c r="S5" s="42" t="str" cm="1">
        <f t="array" ref="S5">getDocumentDPNumber(R5,B5)</f>
        <v>3S5-DP18.2</v>
      </c>
    </row>
    <row r="6" spans="1:19" s="38" customFormat="1" x14ac:dyDescent="0.25">
      <c r="A6" s="46" t="s">
        <v>62</v>
      </c>
      <c r="B6" s="47">
        <f>IFERROR(MATCH(GetTable[[#This Row],[Acrobat file]],GetFileNames[],0),"0")</f>
        <v>3</v>
      </c>
      <c r="C6" s="53" t="str" cm="1">
        <f t="array" ref="C6">getDocumentName(A6,B6)</f>
        <v>079322C-AWP1A-300-CS-KMD-06810-M-0742</v>
      </c>
      <c r="D6" s="46" t="s">
        <v>59</v>
      </c>
      <c r="E6" s="53" t="str">
        <f>getDocumentTitle(D6,B6)</f>
        <v>3-TMS-005-DA Deck A. Floor Beams --H.3S5.SB-116-124</v>
      </c>
      <c r="F6" s="48" t="s">
        <v>43</v>
      </c>
      <c r="G6" s="53" t="str" cm="1">
        <f t="array" ref="G6">getDocumentRevision(F6,B6)</f>
        <v>01</v>
      </c>
      <c r="H6" s="49" t="s">
        <v>45</v>
      </c>
      <c r="I6" s="53" t="str" cm="1">
        <f t="array" ref="I6">getDocumentRevisionDate(H6,B6)</f>
        <v>26/07/2021</v>
      </c>
      <c r="J6" s="49" t="s">
        <v>38</v>
      </c>
      <c r="K6" s="56" t="str" cm="1">
        <f t="array" ref="K6">getDocumentRevisionDescription(J6,I6,B6)</f>
        <v>26.07.2021 IFC - Issued for Construction/Выпущено для строительства</v>
      </c>
      <c r="L6" s="49" t="s">
        <v>60</v>
      </c>
      <c r="M6" s="56" t="str" cm="1">
        <f t="array" ref="M6">getDocumentFormat(B6)</f>
        <v>A1</v>
      </c>
      <c r="N6" s="49">
        <v>1</v>
      </c>
      <c r="O6" s="56" t="str" cm="1">
        <f t="array" ref="O6">getDocumentSheetsQuantity(B6)</f>
        <v>1</v>
      </c>
      <c r="P6" s="49" t="s">
        <v>61</v>
      </c>
      <c r="Q6" s="58"/>
      <c r="R6" s="49" t="s">
        <v>52</v>
      </c>
      <c r="S6" s="42" t="str" cm="1">
        <f t="array" ref="S6">getDocumentDPNumber(R6,B6)</f>
        <v>3S5-DP18.2</v>
      </c>
    </row>
    <row r="7" spans="1:19" s="38" customFormat="1" x14ac:dyDescent="0.25">
      <c r="A7" s="46" t="s">
        <v>66</v>
      </c>
      <c r="B7" s="47">
        <f>IFERROR(MATCH(GetTable[[#This Row],[Acrobat file]],GetFileNames[],0),"0")</f>
        <v>4</v>
      </c>
      <c r="C7" s="53" t="str" cm="1">
        <f t="array" ref="C7">getDocumentName(A7,B7)</f>
        <v>079322C-AWP1A-300-CS-KMD-06810-M-0765</v>
      </c>
      <c r="D7" s="46" t="s">
        <v>64</v>
      </c>
      <c r="E7" s="53" t="str">
        <f>getDocumentTitle(D7,B7)</f>
        <v>3-TMS-005-DA Deck A. Floor Beams --H.3S5.SB-148-122</v>
      </c>
      <c r="F7" s="48" t="s">
        <v>43</v>
      </c>
      <c r="G7" s="53" t="str" cm="1">
        <f t="array" ref="G7">getDocumentRevision(F7,B7)</f>
        <v>01</v>
      </c>
      <c r="H7" s="49" t="s">
        <v>45</v>
      </c>
      <c r="I7" s="53" t="str" cm="1">
        <f t="array" ref="I7">getDocumentRevisionDate(H7,B7)</f>
        <v>26/07/2021</v>
      </c>
      <c r="J7" s="49" t="s">
        <v>38</v>
      </c>
      <c r="K7" s="56" t="str" cm="1">
        <f t="array" ref="K7">getDocumentRevisionDescription(J7,I7,B7)</f>
        <v>26.07.2021 IFC - Issued for Construction/Выпущено для строительства</v>
      </c>
      <c r="L7" s="49" t="s">
        <v>55</v>
      </c>
      <c r="M7" s="56" t="str" cm="1">
        <f t="array" ref="M7">getDocumentFormat(B7)</f>
        <v>A2</v>
      </c>
      <c r="N7" s="49">
        <v>1</v>
      </c>
      <c r="O7" s="56" t="str" cm="1">
        <f t="array" ref="O7">getDocumentSheetsQuantity(B7)</f>
        <v>1</v>
      </c>
      <c r="P7" s="49" t="s">
        <v>65</v>
      </c>
      <c r="Q7" s="58"/>
      <c r="R7" s="49" t="s">
        <v>52</v>
      </c>
      <c r="S7" s="42" t="str" cm="1">
        <f t="array" ref="S7">getDocumentDPNumber(R7,B7)</f>
        <v>3S5-DP18.2</v>
      </c>
    </row>
    <row r="8" spans="1:19" s="38" customFormat="1" x14ac:dyDescent="0.25">
      <c r="A8" s="46" t="s">
        <v>70</v>
      </c>
      <c r="B8" s="47">
        <f>IFERROR(MATCH(GetTable[[#This Row],[Acrobat file]],GetFileNames[],0),"0")</f>
        <v>5</v>
      </c>
      <c r="C8" s="53" t="str" cm="1">
        <f t="array" ref="C8">getDocumentName(A8,B8)</f>
        <v>079322C-AWP1A-300-CS-KMD-06810-M-0780</v>
      </c>
      <c r="D8" s="46" t="s">
        <v>68</v>
      </c>
      <c r="E8" s="53" t="str">
        <f>getDocumentTitle(D8,B8)</f>
        <v>3-TMS-005-DA Deck A. Floor Beams --H.3S5.SB-160-108</v>
      </c>
      <c r="F8" s="48" t="s">
        <v>43</v>
      </c>
      <c r="G8" s="53" t="str" cm="1">
        <f t="array" ref="G8">getDocumentRevision(F8,B8)</f>
        <v>01</v>
      </c>
      <c r="H8" s="49" t="s">
        <v>45</v>
      </c>
      <c r="I8" s="53" t="str" cm="1">
        <f t="array" ref="I8">getDocumentRevisionDate(H8,B8)</f>
        <v>26/07/2021</v>
      </c>
      <c r="J8" s="49" t="s">
        <v>38</v>
      </c>
      <c r="K8" s="56" t="str" cm="1">
        <f t="array" ref="K8">getDocumentRevisionDescription(J8,I8,B8)</f>
        <v>26.07.2021 IFC - Issued for Construction/Выпущено для строительства</v>
      </c>
      <c r="L8" s="49" t="s">
        <v>55</v>
      </c>
      <c r="M8" s="56" t="str" cm="1">
        <f t="array" ref="M8">getDocumentFormat(B8)</f>
        <v>A2</v>
      </c>
      <c r="N8" s="49">
        <v>1</v>
      </c>
      <c r="O8" s="56" t="str" cm="1">
        <f t="array" ref="O8">getDocumentSheetsQuantity(B8)</f>
        <v>1</v>
      </c>
      <c r="P8" s="49" t="s">
        <v>69</v>
      </c>
      <c r="Q8" s="58"/>
      <c r="R8" s="49" t="s">
        <v>52</v>
      </c>
      <c r="S8" s="42" t="str" cm="1">
        <f t="array" ref="S8">getDocumentDPNumber(R8,B8)</f>
        <v>3S5-DP18.2</v>
      </c>
    </row>
    <row r="9" spans="1:19" s="38" customFormat="1" x14ac:dyDescent="0.25">
      <c r="A9" s="46" t="s">
        <v>79</v>
      </c>
      <c r="B9" s="47">
        <f>IFERROR(MATCH(GetTable[[#This Row],[Acrobat file]],GetFileNames[],0),"0")</f>
        <v>6</v>
      </c>
      <c r="C9" s="53" t="str" cm="1">
        <f t="array" ref="C9">getDocumentName(A9,B9)</f>
        <v>079322C-AWP1B-200-CS-KMD-04400-M-1609</v>
      </c>
      <c r="D9" s="46" t="s">
        <v>74</v>
      </c>
      <c r="E9" s="53" t="str">
        <f>getDocumentTitle(D9,B9)</f>
        <v>2-TMP-001-Secondary Structure-FLP.2P1.PL-10A-62</v>
      </c>
      <c r="F9" s="48" t="s">
        <v>73</v>
      </c>
      <c r="G9" s="53" t="str" cm="1">
        <f t="array" ref="G9">getDocumentRevision(F9,B9)</f>
        <v>02</v>
      </c>
      <c r="H9" s="49" t="s">
        <v>75</v>
      </c>
      <c r="I9" s="53" t="str" cm="1">
        <f t="array" ref="I9">getDocumentRevisionDate(H9,B9)</f>
        <v>27/05/2021</v>
      </c>
      <c r="J9" s="49" t="s">
        <v>38</v>
      </c>
      <c r="K9" s="56" t="str" cm="1">
        <f t="array" ref="K9">getDocumentRevisionDescription(J9,I9,B9)</f>
        <v>IFC - Issued for Construction / Выпущено для строительства</v>
      </c>
      <c r="L9" s="49" t="s">
        <v>76</v>
      </c>
      <c r="M9" s="56" t="str" cm="1">
        <f t="array" ref="M9">getDocumentFormat(B9)</f>
        <v>A2¤A4¤A3</v>
      </c>
      <c r="N9" s="49">
        <v>7</v>
      </c>
      <c r="O9" s="56" t="str" cm="1">
        <f t="array" ref="O9">getDocumentSheetsQuantity(B9)</f>
        <v>7</v>
      </c>
      <c r="P9" s="49" t="s">
        <v>78</v>
      </c>
      <c r="Q9" s="58"/>
      <c r="R9" s="49" t="s">
        <v>80</v>
      </c>
      <c r="S9" s="58" t="str" cm="1">
        <f t="array" ref="S9">getDocumentDPNumber(R9,B9)</f>
        <v>NOT FOUND!</v>
      </c>
    </row>
    <row r="10" spans="1:19" s="38" customFormat="1" x14ac:dyDescent="0.25">
      <c r="A10" s="46" t="s">
        <v>87</v>
      </c>
      <c r="B10" s="47">
        <f>IFERROR(MATCH(GetTable[[#This Row],[Acrobat file]],GetFileNames[],0),"0")</f>
        <v>7</v>
      </c>
      <c r="C10" s="53" t="str" cm="1">
        <f t="array" ref="C10">getDocumentName(A10,B10)</f>
        <v>079322C-AWP1B-200-CS-KMD-04400-M-1620</v>
      </c>
      <c r="D10" s="46" t="s">
        <v>83</v>
      </c>
      <c r="E10" s="53" t="str">
        <f>getDocumentTitle(D10,B10)</f>
        <v>2-TMP-001-Secondary Structure FLP.2P1.PL-10A-78</v>
      </c>
      <c r="F10" s="48" t="s">
        <v>82</v>
      </c>
      <c r="G10" s="53" t="str" cm="1">
        <f t="array" ref="G10">getDocumentRevision(F10,B10)</f>
        <v>03</v>
      </c>
      <c r="H10" s="49" t="s">
        <v>84</v>
      </c>
      <c r="I10" s="53" t="str" cm="1">
        <f t="array" ref="I10">getDocumentRevisionDate(H10,B10)</f>
        <v>09/09/2021</v>
      </c>
      <c r="J10" s="49" t="s">
        <v>38</v>
      </c>
      <c r="K10" s="56" t="str" cm="1">
        <f t="array" ref="K10">getDocumentRevisionDescription(J10,I10,B10)</f>
        <v>IFC - ISSUED FOR CONSTRUCTION / ВЫПУЩЕНО ДЛЯ СТРОИТЕЛЬСТВА</v>
      </c>
      <c r="L10" s="49" t="s">
        <v>85</v>
      </c>
      <c r="M10" s="56" t="str" cm="1">
        <f t="array" ref="M10">getDocumentFormat(B10)</f>
        <v>A2¤A4</v>
      </c>
      <c r="N10" s="49">
        <v>2</v>
      </c>
      <c r="O10" s="56" t="str" cm="1">
        <f t="array" ref="O10">getDocumentSheetsQuantity(B10)</f>
        <v>2</v>
      </c>
      <c r="P10" s="49" t="s">
        <v>86</v>
      </c>
      <c r="Q10" s="58"/>
      <c r="R10" s="49" t="s">
        <v>80</v>
      </c>
      <c r="S10" s="58" t="str" cm="1">
        <f t="array" ref="S10">getDocumentDPNumber(R10,B10)</f>
        <v>NOT FOUND!</v>
      </c>
    </row>
    <row r="11" spans="1:19" s="38" customFormat="1" x14ac:dyDescent="0.25">
      <c r="A11" s="46" t="s">
        <v>91</v>
      </c>
      <c r="B11" s="47">
        <f>IFERROR(MATCH(GetTable[[#This Row],[Acrobat file]],GetFileNames[],0),"0")</f>
        <v>8</v>
      </c>
      <c r="C11" s="53" t="str" cm="1">
        <f t="array" ref="C11">getDocumentName(A11,B11)</f>
        <v>079322C-AWP1B-200-CS-KMD-04400-M-1570</v>
      </c>
      <c r="D11" s="46" t="s">
        <v>89</v>
      </c>
      <c r="E11" s="53" t="str">
        <f>getDocumentTitle(D11,B11)</f>
        <v>2-TMP-001-Secondary Structure-FLP.2P1.PL-08A-27</v>
      </c>
      <c r="F11" s="48" t="s">
        <v>73</v>
      </c>
      <c r="G11" s="53" t="str" cm="1">
        <f t="array" ref="G11">getDocumentRevision(F11,B11)</f>
        <v>02</v>
      </c>
      <c r="H11" s="49" t="s">
        <v>75</v>
      </c>
      <c r="I11" s="53" t="str" cm="1">
        <f t="array" ref="I11">getDocumentRevisionDate(H11,B11)</f>
        <v>27/05/2021</v>
      </c>
      <c r="J11" s="49" t="s">
        <v>38</v>
      </c>
      <c r="K11" s="56" t="str" cm="1">
        <f t="array" ref="K11">getDocumentRevisionDescription(J11,I11,B11)</f>
        <v>IFC - Issued for Construction / Выпущено для строительства</v>
      </c>
      <c r="L11" s="49" t="s">
        <v>76</v>
      </c>
      <c r="M11" s="56" t="str" cm="1">
        <f t="array" ref="M11">getDocumentFormat(B11)</f>
        <v>A2¤A4¤A3</v>
      </c>
      <c r="N11" s="49">
        <v>6</v>
      </c>
      <c r="O11" s="56" t="str" cm="1">
        <f t="array" ref="O11">getDocumentSheetsQuantity(B11)</f>
        <v>6</v>
      </c>
      <c r="P11" s="49" t="s">
        <v>90</v>
      </c>
      <c r="Q11" s="58"/>
      <c r="R11" s="49" t="s">
        <v>80</v>
      </c>
      <c r="S11" s="58" t="str" cm="1">
        <f t="array" ref="S11">getDocumentDPNumber(R11,B11)</f>
        <v>NOT FOUND!</v>
      </c>
    </row>
    <row r="12" spans="1:19" s="38" customFormat="1" x14ac:dyDescent="0.25">
      <c r="A12" s="46" t="s">
        <v>96</v>
      </c>
      <c r="B12" s="47">
        <f>IFERROR(MATCH(GetTable[[#This Row],[Acrobat file]],GetFileNames[],0),"0")</f>
        <v>9</v>
      </c>
      <c r="C12" s="53" t="str" cm="1">
        <f t="array" ref="C12">getDocumentName(A12,B12)</f>
        <v>079322C-AWP1B-200-CS-KMD-04400-M-1628</v>
      </c>
      <c r="D12" s="46" t="s">
        <v>93</v>
      </c>
      <c r="E12" s="53" t="str">
        <f>getDocumentTitle(D12,B12)</f>
        <v>2-TMP-001-Secondary Structure FLP.2P1.PL-12A-8</v>
      </c>
      <c r="F12" s="48" t="s">
        <v>82</v>
      </c>
      <c r="G12" s="53" t="str" cm="1">
        <f t="array" ref="G12">getDocumentRevision(F12,B12)</f>
        <v>03</v>
      </c>
      <c r="H12" s="49" t="s">
        <v>84</v>
      </c>
      <c r="I12" s="53" t="str" cm="1">
        <f t="array" ref="I12">getDocumentRevisionDate(H12,B12)</f>
        <v>09/09/2021</v>
      </c>
      <c r="J12" s="49" t="s">
        <v>38</v>
      </c>
      <c r="K12" s="56" t="str" cm="1">
        <f t="array" ref="K12">getDocumentRevisionDescription(J12,I12,B12)</f>
        <v>IFC - ISSUED FOR CONSTRUCTION / ВЫПУЩЕНО ДЛЯ СТРОИТЕЛЬСТВА</v>
      </c>
      <c r="L12" s="49" t="s">
        <v>94</v>
      </c>
      <c r="M12" s="56" t="str" cm="1">
        <f t="array" ref="M12">getDocumentFormat(B12)</f>
        <v>A1¤A3¤A4</v>
      </c>
      <c r="N12" s="49">
        <v>8</v>
      </c>
      <c r="O12" s="56" t="str" cm="1">
        <f t="array" ref="O12">getDocumentSheetsQuantity(B12)</f>
        <v>8</v>
      </c>
      <c r="P12" s="49" t="s">
        <v>95</v>
      </c>
      <c r="Q12" s="58"/>
      <c r="R12" s="49" t="s">
        <v>80</v>
      </c>
      <c r="S12" s="58" t="str" cm="1">
        <f t="array" ref="S12">getDocumentDPNumber(R12,B12)</f>
        <v>NOT FOUND!</v>
      </c>
    </row>
    <row r="13" spans="1:19" s="38" customFormat="1" x14ac:dyDescent="0.25">
      <c r="A13" s="46" t="s">
        <v>100</v>
      </c>
      <c r="B13" s="47">
        <f>IFERROR(MATCH(GetTable[[#This Row],[Acrobat file]],GetFileNames[],0),"0")</f>
        <v>10</v>
      </c>
      <c r="C13" s="53" t="str" cm="1">
        <f t="array" ref="C13">getDocumentName(A13,B13)</f>
        <v>079322C-AWP1B-200-CS-KMD-04400-M-1631</v>
      </c>
      <c r="D13" s="46" t="s">
        <v>98</v>
      </c>
      <c r="E13" s="53" t="str">
        <f>getDocumentTitle(D13,B13)</f>
        <v>2-TMP-001-Secondary Structure-FLP.2P1.PL-12A-14</v>
      </c>
      <c r="F13" s="48" t="s">
        <v>73</v>
      </c>
      <c r="G13" s="53" t="str" cm="1">
        <f t="array" ref="G13">getDocumentRevision(F13,B13)</f>
        <v>02</v>
      </c>
      <c r="H13" s="49" t="s">
        <v>75</v>
      </c>
      <c r="I13" s="53" t="str" cm="1">
        <f t="array" ref="I13">getDocumentRevisionDate(H13,B13)</f>
        <v>27/05/2021</v>
      </c>
      <c r="J13" s="49" t="s">
        <v>38</v>
      </c>
      <c r="K13" s="56" t="str" cm="1">
        <f t="array" ref="K13">getDocumentRevisionDescription(J13,I13,B13)</f>
        <v>IFC - Issued for Construction / Выпущено для строительства</v>
      </c>
      <c r="L13" s="49" t="s">
        <v>85</v>
      </c>
      <c r="M13" s="56" t="str" cm="1">
        <f t="array" ref="M13">getDocumentFormat(B13)</f>
        <v>A2¤A4</v>
      </c>
      <c r="N13" s="49">
        <v>2</v>
      </c>
      <c r="O13" s="56" t="str" cm="1">
        <f t="array" ref="O13">getDocumentSheetsQuantity(B13)</f>
        <v>2</v>
      </c>
      <c r="P13" s="49" t="s">
        <v>99</v>
      </c>
      <c r="Q13" s="58"/>
      <c r="R13" s="49" t="s">
        <v>80</v>
      </c>
      <c r="S13" s="58" t="str" cm="1">
        <f t="array" ref="S13">getDocumentDPNumber(R13,B13)</f>
        <v>NOT FOUND!</v>
      </c>
    </row>
    <row r="14" spans="1:19" s="38" customFormat="1" x14ac:dyDescent="0.25">
      <c r="A14" s="46" t="s">
        <v>104</v>
      </c>
      <c r="B14" s="47">
        <f>IFERROR(MATCH(GetTable[[#This Row],[Acrobat file]],GetFileNames[],0),"0")</f>
        <v>11</v>
      </c>
      <c r="C14" s="53" t="str" cm="1">
        <f t="array" ref="C14">getDocumentName(A14,B14)</f>
        <v>079322C-AWP1B-200-CS-KMD-04400-M-1636</v>
      </c>
      <c r="D14" s="46" t="s">
        <v>102</v>
      </c>
      <c r="E14" s="53" t="str">
        <f>getDocumentTitle(D14,B14)</f>
        <v>2-TMP-001-Secondary Structure FLP.2P1.PL-12A-20</v>
      </c>
      <c r="F14" s="48" t="s">
        <v>82</v>
      </c>
      <c r="G14" s="53" t="str" cm="1">
        <f t="array" ref="G14">getDocumentRevision(F14,B14)</f>
        <v>03</v>
      </c>
      <c r="H14" s="49" t="s">
        <v>84</v>
      </c>
      <c r="I14" s="53" t="str" cm="1">
        <f t="array" ref="I14">getDocumentRevisionDate(H14,B14)</f>
        <v>09/09/2021</v>
      </c>
      <c r="J14" s="49" t="s">
        <v>38</v>
      </c>
      <c r="K14" s="56" t="str" cm="1">
        <f t="array" ref="K14">getDocumentRevisionDescription(J14,I14,B14)</f>
        <v>IFC - ISSUED FOR CONSTRUCTION / ВЫПУЩЕНО ДЛЯ СТРОИТЕЛЬСТВА</v>
      </c>
      <c r="L14" s="49" t="s">
        <v>85</v>
      </c>
      <c r="M14" s="56" t="str" cm="1">
        <f t="array" ref="M14">getDocumentFormat(B14)</f>
        <v>A2¤A4</v>
      </c>
      <c r="N14" s="49">
        <v>5</v>
      </c>
      <c r="O14" s="56" t="str" cm="1">
        <f t="array" ref="O14">getDocumentSheetsQuantity(B14)</f>
        <v>5</v>
      </c>
      <c r="P14" s="49" t="s">
        <v>103</v>
      </c>
      <c r="Q14" s="58"/>
      <c r="R14" s="49" t="s">
        <v>80</v>
      </c>
      <c r="S14" s="58" t="str" cm="1">
        <f t="array" ref="S14">getDocumentDPNumber(R14,B14)</f>
        <v>NOT FOUND!</v>
      </c>
    </row>
    <row r="15" spans="1:19" s="38" customFormat="1" x14ac:dyDescent="0.25">
      <c r="A15" s="46" t="s">
        <v>108</v>
      </c>
      <c r="B15" s="47">
        <f>IFERROR(MATCH(GetTable[[#This Row],[Acrobat file]],GetFileNames[],0),"0")</f>
        <v>12</v>
      </c>
      <c r="C15" s="53" t="str" cm="1">
        <f t="array" ref="C15">getDocumentName(A15,B15)</f>
        <v>079322C-AWP1B-200-CS-KMD-04400-M-1641</v>
      </c>
      <c r="D15" s="46" t="s">
        <v>106</v>
      </c>
      <c r="E15" s="53" t="str">
        <f>getDocumentTitle(D15,B15)</f>
        <v>2-TMP-001-Secondary Structure FLP.2P1.PL-12A-29</v>
      </c>
      <c r="F15" s="48" t="s">
        <v>82</v>
      </c>
      <c r="G15" s="53" t="str" cm="1">
        <f t="array" ref="G15">getDocumentRevision(F15,B15)</f>
        <v>03</v>
      </c>
      <c r="H15" s="49" t="s">
        <v>84</v>
      </c>
      <c r="I15" s="53" t="str" cm="1">
        <f t="array" ref="I15">getDocumentRevisionDate(H15,B15)</f>
        <v>09/09/2021</v>
      </c>
      <c r="J15" s="49" t="s">
        <v>38</v>
      </c>
      <c r="K15" s="56" t="str" cm="1">
        <f t="array" ref="K15">getDocumentRevisionDescription(J15,I15,B15)</f>
        <v>IFC - ISSUED FOR CONSTRUCTION / ВЫПУЩЕНО ДЛЯ СТРОИТЕЛЬСТВА</v>
      </c>
      <c r="L15" s="49" t="s">
        <v>94</v>
      </c>
      <c r="M15" s="56" t="str" cm="1">
        <f t="array" ref="M15">getDocumentFormat(B15)</f>
        <v>A1¤A4¤A3</v>
      </c>
      <c r="N15" s="49">
        <v>8</v>
      </c>
      <c r="O15" s="56" t="str" cm="1">
        <f t="array" ref="O15">getDocumentSheetsQuantity(B15)</f>
        <v>8</v>
      </c>
      <c r="P15" s="49" t="s">
        <v>107</v>
      </c>
      <c r="Q15" s="58"/>
      <c r="R15" s="49" t="s">
        <v>80</v>
      </c>
      <c r="S15" s="58" t="str" cm="1">
        <f t="array" ref="S15">getDocumentDPNumber(R15,B15)</f>
        <v>NOT FOUND!</v>
      </c>
    </row>
    <row r="16" spans="1:19" s="38" customFormat="1" x14ac:dyDescent="0.25">
      <c r="A16" s="46" t="s">
        <v>112</v>
      </c>
      <c r="B16" s="47">
        <f>IFERROR(MATCH(GetTable[[#This Row],[Acrobat file]],GetFileNames[],0),"0")</f>
        <v>13</v>
      </c>
      <c r="C16" s="53" t="str" cm="1">
        <f t="array" ref="C16">getDocumentName(A16,B16)</f>
        <v>079322C-AWP1B-200-CS-KMD-04400-M-1758</v>
      </c>
      <c r="D16" s="46" t="s">
        <v>110</v>
      </c>
      <c r="E16" s="53" t="str">
        <f>getDocumentTitle(D16,B16)</f>
        <v>2-TMP-001-Secondary Structure FLP.2P1.PL-10A-119</v>
      </c>
      <c r="F16" s="48" t="s">
        <v>82</v>
      </c>
      <c r="G16" s="53" t="str" cm="1">
        <f t="array" ref="G16">getDocumentRevision(F16,B16)</f>
        <v>03</v>
      </c>
      <c r="H16" s="49" t="s">
        <v>84</v>
      </c>
      <c r="I16" s="53" t="str" cm="1">
        <f t="array" ref="I16">getDocumentRevisionDate(H16,B16)</f>
        <v>09/09/2021</v>
      </c>
      <c r="J16" s="49" t="s">
        <v>38</v>
      </c>
      <c r="K16" s="56" t="str" cm="1">
        <f t="array" ref="K16">getDocumentRevisionDescription(J16,I16,B16)</f>
        <v>IFC - ISSUED FOR CONSTRUCTION / ВЫПУЩЕНО ДЛЯ СТРОИТЕЛЬСТВА</v>
      </c>
      <c r="L16" s="49" t="s">
        <v>85</v>
      </c>
      <c r="M16" s="56" t="str" cm="1">
        <f t="array" ref="M16">getDocumentFormat(B16)</f>
        <v>A2¤A4</v>
      </c>
      <c r="N16" s="49">
        <v>6</v>
      </c>
      <c r="O16" s="56" t="str" cm="1">
        <f t="array" ref="O16">getDocumentSheetsQuantity(B16)</f>
        <v>6</v>
      </c>
      <c r="P16" s="49" t="s">
        <v>111</v>
      </c>
      <c r="Q16" s="58"/>
      <c r="R16" s="49" t="s">
        <v>80</v>
      </c>
      <c r="S16" s="58" t="str" cm="1">
        <f t="array" ref="S16">getDocumentDPNumber(R16,B16)</f>
        <v>NOT FOUND!</v>
      </c>
    </row>
    <row r="17" spans="1:19" s="38" customFormat="1" x14ac:dyDescent="0.25">
      <c r="A17" s="46" t="s">
        <v>117</v>
      </c>
      <c r="B17" s="47">
        <f>IFERROR(MATCH(GetTable[[#This Row],[Acrobat file]],GetFileNames[],0),"0")</f>
        <v>14</v>
      </c>
      <c r="C17" s="53" t="str" cm="1">
        <f t="array" ref="C17">getDocumentName(A17,B17)</f>
        <v>079322C-AWP1B-200-CS-KMD-04400-M-5302</v>
      </c>
      <c r="D17" s="46" t="s">
        <v>114</v>
      </c>
      <c r="E17" s="53" t="str">
        <f>getDocumentTitle(D17,B17)</f>
        <v>2-TMP-001-Pipe Support OP.2P1.SST-0001-2</v>
      </c>
      <c r="F17" s="48" t="s">
        <v>73</v>
      </c>
      <c r="G17" s="53" t="str" cm="1">
        <f t="array" ref="G17">getDocumentRevision(F17,B17)</f>
        <v>02</v>
      </c>
      <c r="H17" s="49" t="s">
        <v>115</v>
      </c>
      <c r="I17" s="53" t="str" cm="1">
        <f t="array" ref="I17">getDocumentRevisionDate(H17,B17)</f>
        <v>29/03/2021</v>
      </c>
      <c r="J17" s="49" t="s">
        <v>38</v>
      </c>
      <c r="K17" s="56" t="str" cm="1">
        <f t="array" ref="K17">getDocumentRevisionDescription(J17,I17,B17)</f>
        <v>IFC – Issued for Construction / Выпущено для строительства</v>
      </c>
      <c r="L17" s="49" t="s">
        <v>85</v>
      </c>
      <c r="M17" s="56" t="str" cm="1">
        <f t="array" ref="M17">getDocumentFormat(B17)</f>
        <v>A2¤A4</v>
      </c>
      <c r="N17" s="49">
        <v>3</v>
      </c>
      <c r="O17" s="56" t="str" cm="1">
        <f t="array" ref="O17">getDocumentSheetsQuantity(B17)</f>
        <v>3</v>
      </c>
      <c r="P17" s="49" t="s">
        <v>116</v>
      </c>
      <c r="Q17" s="58"/>
      <c r="R17" s="49" t="s">
        <v>118</v>
      </c>
      <c r="S17" s="58" t="str" cm="1">
        <f t="array" ref="S17">getDocumentDPNumber(R17,B17)</f>
        <v>NOT FOUND!</v>
      </c>
    </row>
    <row r="18" spans="1:19" s="38" customFormat="1" x14ac:dyDescent="0.25">
      <c r="A18" s="46" t="s">
        <v>122</v>
      </c>
      <c r="B18" s="47">
        <f>IFERROR(MATCH(GetTable[[#This Row],[Acrobat file]],GetFileNames[],0),"0")</f>
        <v>15</v>
      </c>
      <c r="C18" s="53" t="str" cm="1">
        <f t="array" ref="C18">getDocumentName(A18,B18)</f>
        <v>079322C-AWP1B-200-CS-KMD-04400-M-6010</v>
      </c>
      <c r="D18" s="46" t="s">
        <v>120</v>
      </c>
      <c r="E18" s="53" t="str">
        <f>getDocumentTitle(D18,B18)</f>
        <v>2-TMP-001-Pipe Support OP.2P1.SST-0009-1</v>
      </c>
      <c r="F18" s="48" t="s">
        <v>73</v>
      </c>
      <c r="G18" s="53" t="str" cm="1">
        <f t="array" ref="G18">getDocumentRevision(F18,B18)</f>
        <v>02</v>
      </c>
      <c r="H18" s="49" t="s">
        <v>115</v>
      </c>
      <c r="I18" s="53" t="str" cm="1">
        <f t="array" ref="I18">getDocumentRevisionDate(H18,B18)</f>
        <v>29/03/2021</v>
      </c>
      <c r="J18" s="49" t="s">
        <v>38</v>
      </c>
      <c r="K18" s="56" t="str" cm="1">
        <f t="array" ref="K18">getDocumentRevisionDescription(J18,I18,B18)</f>
        <v>IFC – Issued for Construction / Выпущено для строительства</v>
      </c>
      <c r="L18" s="49" t="s">
        <v>85</v>
      </c>
      <c r="M18" s="56" t="str" cm="1">
        <f t="array" ref="M18">getDocumentFormat(B18)</f>
        <v>A2¤A4</v>
      </c>
      <c r="N18" s="49">
        <v>8</v>
      </c>
      <c r="O18" s="56" t="str" cm="1">
        <f t="array" ref="O18">getDocumentSheetsQuantity(B18)</f>
        <v>8</v>
      </c>
      <c r="P18" s="49" t="s">
        <v>121</v>
      </c>
      <c r="Q18" s="58"/>
      <c r="R18" s="49" t="s">
        <v>118</v>
      </c>
      <c r="S18" s="58" t="str" cm="1">
        <f t="array" ref="S18">getDocumentDPNumber(R18,B18)</f>
        <v>NOT FOUND!</v>
      </c>
    </row>
    <row r="19" spans="1:19" s="38" customFormat="1" x14ac:dyDescent="0.25">
      <c r="A19" s="46" t="s">
        <v>126</v>
      </c>
      <c r="B19" s="47">
        <f>IFERROR(MATCH(GetTable[[#This Row],[Acrobat file]],GetFileNames[],0),"0")</f>
        <v>16</v>
      </c>
      <c r="C19" s="53" t="str" cm="1">
        <f t="array" ref="C19">getDocumentName(A19,B19)</f>
        <v>079322C-AWP1B-200-CS-KMD-04400-M-6029</v>
      </c>
      <c r="D19" s="46" t="s">
        <v>124</v>
      </c>
      <c r="E19" s="53" t="str">
        <f>getDocumentTitle(D19,B19)</f>
        <v>2-TMP-001-Pipe Support OP.2P1.SST-0033-1</v>
      </c>
      <c r="F19" s="48" t="s">
        <v>73</v>
      </c>
      <c r="G19" s="53" t="str" cm="1">
        <f t="array" ref="G19">getDocumentRevision(F19,B19)</f>
        <v>02</v>
      </c>
      <c r="H19" s="49" t="s">
        <v>115</v>
      </c>
      <c r="I19" s="53" t="str" cm="1">
        <f t="array" ref="I19">getDocumentRevisionDate(H19,B19)</f>
        <v>29/03/2021</v>
      </c>
      <c r="J19" s="49" t="s">
        <v>38</v>
      </c>
      <c r="K19" s="56" t="str" cm="1">
        <f t="array" ref="K19">getDocumentRevisionDescription(J19,I19,B19)</f>
        <v>IFC – Issued for Construction / Выпущено для строительства</v>
      </c>
      <c r="L19" s="49" t="s">
        <v>85</v>
      </c>
      <c r="M19" s="56" t="str" cm="1">
        <f t="array" ref="M19">getDocumentFormat(B19)</f>
        <v>A2¤A4</v>
      </c>
      <c r="N19" s="49">
        <v>5</v>
      </c>
      <c r="O19" s="56" t="str" cm="1">
        <f t="array" ref="O19">getDocumentSheetsQuantity(B19)</f>
        <v>5</v>
      </c>
      <c r="P19" s="49" t="s">
        <v>125</v>
      </c>
      <c r="Q19" s="58"/>
      <c r="R19" s="49" t="s">
        <v>118</v>
      </c>
      <c r="S19" s="58" t="str" cm="1">
        <f t="array" ref="S19">getDocumentDPNumber(R19,B19)</f>
        <v>NOT FOUND!</v>
      </c>
    </row>
    <row r="20" spans="1:19" s="38" customFormat="1" x14ac:dyDescent="0.25">
      <c r="A20" s="46" t="s">
        <v>133</v>
      </c>
      <c r="B20" s="47">
        <f>IFERROR(MATCH(GetTable[[#This Row],[Acrobat file]],GetFileNames[],0),"0")</f>
        <v>17</v>
      </c>
      <c r="C20" s="53" t="str" cm="1">
        <f t="array" ref="C20">getDocumentName(A20,B20)</f>
        <v>079322C-AWP1A-300-CS-KMD-17421-M-0136</v>
      </c>
      <c r="D20" s="46" t="s">
        <v>128</v>
      </c>
      <c r="E20" s="53" t="str">
        <f>getDocumentTitle(D20,B20)</f>
        <v>3-TMP-005-DB-1 Sub-Deck B.-WC.3P5.PL-8-065</v>
      </c>
      <c r="F20" s="48" t="s">
        <v>73</v>
      </c>
      <c r="G20" s="53" t="str" cm="1">
        <f t="array" ref="G20">getDocumentRevision(F20,B20)</f>
        <v>02</v>
      </c>
      <c r="H20" s="49" t="s">
        <v>129</v>
      </c>
      <c r="I20" s="53" t="str" cm="1">
        <f t="array" ref="I20">getDocumentRevisionDate(H20,B20)</f>
        <v>22/09/2021</v>
      </c>
      <c r="J20" s="49" t="s">
        <v>38</v>
      </c>
      <c r="K20" s="56" t="str" cm="1">
        <f t="array" ref="K20">getDocumentRevisionDescription(J20,I20,B20)</f>
        <v>IFC-Issued for Construction/Выпущено для строительства</v>
      </c>
      <c r="L20" s="49" t="s">
        <v>55</v>
      </c>
      <c r="M20" s="56" t="str" cm="1">
        <f t="array" ref="M20">getDocumentFormat(B20)</f>
        <v>A2</v>
      </c>
      <c r="N20" s="49">
        <v>1</v>
      </c>
      <c r="O20" s="56" t="str" cm="1">
        <f t="array" ref="O20">getDocumentSheetsQuantity(B20)</f>
        <v>1</v>
      </c>
      <c r="P20" s="49" t="s">
        <v>132</v>
      </c>
      <c r="Q20" s="58"/>
      <c r="R20" s="49" t="s">
        <v>134</v>
      </c>
      <c r="S20" s="42" t="str" cm="1">
        <f t="array" ref="S20">getDocumentDPNumber(R20,B20)</f>
        <v>3P5-DP30</v>
      </c>
    </row>
    <row r="21" spans="1:19" s="38" customFormat="1" x14ac:dyDescent="0.25">
      <c r="A21" s="46" t="s">
        <v>138</v>
      </c>
      <c r="B21" s="47">
        <f>IFERROR(MATCH(GetTable[[#This Row],[Acrobat file]],GetFileNames[],0),"0")</f>
        <v>18</v>
      </c>
      <c r="C21" s="53" t="str" cm="1">
        <f t="array" ref="C21">getDocumentName(A21,B21)</f>
        <v>079322C-AWP1A-300-CS-KMD-17421-M-0135</v>
      </c>
      <c r="D21" s="46" t="s">
        <v>136</v>
      </c>
      <c r="E21" s="53" t="str">
        <f>getDocumentTitle(D21,B21)</f>
        <v>3-TMP-005-DB-1 Sub-Deck B.-WC.3P5.PL-8-066</v>
      </c>
      <c r="F21" s="48" t="s">
        <v>73</v>
      </c>
      <c r="G21" s="53" t="str" cm="1">
        <f t="array" ref="G21">getDocumentRevision(F21,B21)</f>
        <v>02</v>
      </c>
      <c r="H21" s="49" t="s">
        <v>129</v>
      </c>
      <c r="I21" s="53" t="str" cm="1">
        <f t="array" ref="I21">getDocumentRevisionDate(H21,B21)</f>
        <v>22/09/2021</v>
      </c>
      <c r="J21" s="49" t="s">
        <v>38</v>
      </c>
      <c r="K21" s="56" t="str" cm="1">
        <f t="array" ref="K21">getDocumentRevisionDescription(J21,I21,B21)</f>
        <v>IFC-Issued for Construction/Выпущено для строительства</v>
      </c>
      <c r="L21" s="49" t="s">
        <v>55</v>
      </c>
      <c r="M21" s="56" t="str" cm="1">
        <f t="array" ref="M21">getDocumentFormat(B21)</f>
        <v>A2</v>
      </c>
      <c r="N21" s="49">
        <v>1</v>
      </c>
      <c r="O21" s="56" t="str" cm="1">
        <f t="array" ref="O21">getDocumentSheetsQuantity(B21)</f>
        <v>1</v>
      </c>
      <c r="P21" s="49" t="s">
        <v>137</v>
      </c>
      <c r="Q21" s="58"/>
      <c r="R21" s="49" t="s">
        <v>134</v>
      </c>
      <c r="S21" s="42" t="str" cm="1">
        <f t="array" ref="S21">getDocumentDPNumber(R21,B21)</f>
        <v>3P5-DP30</v>
      </c>
    </row>
    <row r="22" spans="1:19" s="38" customFormat="1" x14ac:dyDescent="0.25">
      <c r="A22" s="46" t="s">
        <v>146</v>
      </c>
      <c r="B22" s="47">
        <f>IFERROR(MATCH(GetTable[[#This Row],[Acrobat file]],GetFileNames[],0),"0")</f>
        <v>19</v>
      </c>
      <c r="C22" s="53" t="str" cm="1">
        <f t="array" ref="C22">getDocumentName(A22,B22)</f>
        <v>079322C-GWP5B-100-CS-KMD-05120-D-0001</v>
      </c>
      <c r="D22" s="46" t="s">
        <v>141</v>
      </c>
      <c r="E22" s="53" t="str">
        <f>getDocumentTitle(D22,B22)</f>
        <v>1-TMR-002 - Deck-A - Secondary Structure - Monorails-DP48-Single part - dp48-1</v>
      </c>
      <c r="F22" s="48" t="s">
        <v>43</v>
      </c>
      <c r="G22" s="53" t="str" cm="1">
        <f t="array" ref="G22">getDocumentRevision(F22,B22)</f>
        <v>01</v>
      </c>
      <c r="H22" s="49" t="s">
        <v>142</v>
      </c>
      <c r="I22" s="53" t="str" cm="1">
        <f t="array" ref="I22">getDocumentRevisionDate(H22,B22)</f>
        <v>31/08/2021</v>
      </c>
      <c r="J22" s="49" t="s">
        <v>38</v>
      </c>
      <c r="K22" s="57" t="str" cm="1">
        <f t="array" ref="K22">getDocumentRevisionDescription(J22,I22,B22)</f>
        <v>IFR - Issued for Review / Выпущено для рассмотрения</v>
      </c>
      <c r="L22" s="49" t="s">
        <v>55</v>
      </c>
      <c r="M22" s="56" t="str" cm="1">
        <f t="array" ref="M22">getDocumentFormat(B22)</f>
        <v>A2</v>
      </c>
      <c r="N22" s="49">
        <v>1</v>
      </c>
      <c r="O22" s="56" t="str" cm="1">
        <f t="array" ref="O22">getDocumentSheetsQuantity(B22)</f>
        <v>1</v>
      </c>
      <c r="P22" s="49" t="s">
        <v>145</v>
      </c>
      <c r="Q22" s="58"/>
      <c r="R22" s="49" t="s">
        <v>147</v>
      </c>
      <c r="S22" s="42" t="str" cm="1">
        <f t="array" ref="S22">getDocumentDPNumber(R22,B22)</f>
        <v>1R2-DP48</v>
      </c>
    </row>
    <row r="23" spans="1:19" s="38" customFormat="1" x14ac:dyDescent="0.25">
      <c r="A23" s="46" t="s">
        <v>151</v>
      </c>
      <c r="B23" s="47">
        <f>IFERROR(MATCH(GetTable[[#This Row],[Acrobat file]],GetFileNames[],0),"0")</f>
        <v>20</v>
      </c>
      <c r="C23" s="53" t="str" cm="1">
        <f t="array" ref="C23">getDocumentName(A23,B23)</f>
        <v>079322C-GWP5B-100-CS-KMD-05120-D-0018</v>
      </c>
      <c r="D23" s="46" t="s">
        <v>149</v>
      </c>
      <c r="E23" s="53" t="str">
        <f>getDocumentTitle(D23,B23)</f>
        <v>1-TMR-002 - Deck-A - Secondary Structure - Monorails-DP48-Single part - dp48-18</v>
      </c>
      <c r="F23" s="48" t="s">
        <v>43</v>
      </c>
      <c r="G23" s="53" t="str" cm="1">
        <f t="array" ref="G23">getDocumentRevision(F23,B23)</f>
        <v>01</v>
      </c>
      <c r="H23" s="49" t="s">
        <v>142</v>
      </c>
      <c r="I23" s="53" t="str" cm="1">
        <f t="array" ref="I23">getDocumentRevisionDate(H23,B23)</f>
        <v>31/08/2021</v>
      </c>
      <c r="J23" s="49" t="s">
        <v>38</v>
      </c>
      <c r="K23" s="57" t="str" cm="1">
        <f t="array" ref="K23">getDocumentRevisionDescription(J23,I23,B23)</f>
        <v>IFR - Issued for Review / Выпущено для рассмотрения</v>
      </c>
      <c r="L23" s="49" t="s">
        <v>46</v>
      </c>
      <c r="M23" s="56" t="str" cm="1">
        <f t="array" ref="M23">getDocumentFormat(B23)</f>
        <v>A3</v>
      </c>
      <c r="N23" s="49">
        <v>1</v>
      </c>
      <c r="O23" s="56" t="str" cm="1">
        <f t="array" ref="O23">getDocumentSheetsQuantity(B23)</f>
        <v>1</v>
      </c>
      <c r="P23" s="49" t="s">
        <v>150</v>
      </c>
      <c r="Q23" s="58"/>
      <c r="R23" s="49" t="s">
        <v>147</v>
      </c>
      <c r="S23" s="42" t="str" cm="1">
        <f t="array" ref="S23">getDocumentDPNumber(R23,B23)</f>
        <v>1R2-DP48</v>
      </c>
    </row>
    <row r="24" spans="1:19" s="38" customFormat="1" x14ac:dyDescent="0.25">
      <c r="A24" s="46" t="s">
        <v>155</v>
      </c>
      <c r="B24" s="47">
        <f>IFERROR(MATCH(GetTable[[#This Row],[Acrobat file]],GetFileNames[],0),"0")</f>
        <v>21</v>
      </c>
      <c r="C24" s="53" t="str" cm="1">
        <f t="array" ref="C24">getDocumentName(A24,B24)</f>
        <v>079322C-AWP1A-300-CS-KMD-06815-D-0900</v>
      </c>
      <c r="D24" s="46" t="s">
        <v>153</v>
      </c>
      <c r="E24" s="53" t="str">
        <f>getDocumentTitle(D24,B24)</f>
        <v>3-TMS-005-DA Deck A. Pipe Supports -- op19-1 -</v>
      </c>
      <c r="F24" s="48" t="s">
        <v>43</v>
      </c>
      <c r="G24" s="53" t="str" cm="1">
        <f t="array" ref="G24">getDocumentRevision(F24,B24)</f>
        <v>01</v>
      </c>
      <c r="H24" s="49" t="s">
        <v>129</v>
      </c>
      <c r="I24" s="53" t="str" cm="1">
        <f t="array" ref="I24">getDocumentRevisionDate(H24,B24)</f>
        <v>22/09/2021</v>
      </c>
      <c r="J24" s="49" t="s">
        <v>38</v>
      </c>
      <c r="K24" s="56" t="str" cm="1">
        <f t="array" ref="K24">getDocumentRevisionDescription(J24,I24,B24)</f>
        <v>22.09.2021 IFC - Issued for Construction/Выпущено для строительства</v>
      </c>
      <c r="L24" s="49" t="s">
        <v>55</v>
      </c>
      <c r="M24" s="56" t="str" cm="1">
        <f t="array" ref="M24">getDocumentFormat(B24)</f>
        <v>A2</v>
      </c>
      <c r="N24" s="49">
        <v>1</v>
      </c>
      <c r="O24" s="56" t="str" cm="1">
        <f t="array" ref="O24">getDocumentSheetsQuantity(B24)</f>
        <v>1</v>
      </c>
      <c r="P24" s="49" t="s">
        <v>154</v>
      </c>
      <c r="Q24" s="58"/>
      <c r="R24" s="49" t="s">
        <v>156</v>
      </c>
      <c r="S24" s="42" t="str" cm="1">
        <f t="array" ref="S24">getDocumentDPNumber(R24,B24)</f>
        <v>3S5-DP19</v>
      </c>
    </row>
    <row r="25" spans="1:19" s="38" customFormat="1" x14ac:dyDescent="0.25">
      <c r="A25" s="46" t="s">
        <v>163</v>
      </c>
      <c r="B25" s="47">
        <f>IFERROR(MATCH(GetTable[[#This Row],[Acrobat file]],GetFileNames[],0),"0")</f>
        <v>22</v>
      </c>
      <c r="C25" s="53" t="str" cm="1">
        <f t="array" ref="C25">getDocumentName(A25,B25)</f>
        <v>079322C-GWP5B-100-CS-KMD-00550-M-0152</v>
      </c>
      <c r="D25" s="46" t="s">
        <v>158</v>
      </c>
      <c r="E25" s="54" t="str">
        <f>getDocumentTitle(D25,B25)</f>
        <v>1-TLP-001 - DECK-A - Secondary Structure - DP70-MP.1LP.179-HMB-810A-1</v>
      </c>
      <c r="F25" s="48" t="s">
        <v>43</v>
      </c>
      <c r="G25" s="53" t="str" cm="1">
        <f t="array" ref="G25">getDocumentRevision(F25,B25)</f>
        <v>01</v>
      </c>
      <c r="H25" s="49" t="s">
        <v>159</v>
      </c>
      <c r="I25" s="53" t="str" cm="1">
        <f t="array" ref="I25">getDocumentRevisionDate(H25,B25)</f>
        <v>24/09/2021</v>
      </c>
      <c r="J25" s="49" t="s">
        <v>38</v>
      </c>
      <c r="K25" s="56" t="str" cm="1">
        <f t="array" ref="K25">getDocumentRevisionDescription(J25,I25,B25)</f>
        <v>IFC - ISSUED FOR CONSTRUCTION / ВЫПУЩЕНО ДЛЯ СТРОИТЕЛЬСТВА</v>
      </c>
      <c r="L25" s="49" t="s">
        <v>60</v>
      </c>
      <c r="M25" s="56" t="str" cm="1">
        <f t="array" ref="M25">getDocumentFormat(B25)</f>
        <v>A1</v>
      </c>
      <c r="N25" s="49" t="s">
        <v>160</v>
      </c>
      <c r="O25" s="56" t="str" cm="1">
        <f t="array" ref="O25">getDocumentSheetsQuantity(B25)</f>
        <v>1</v>
      </c>
      <c r="P25" s="49" t="s">
        <v>162</v>
      </c>
      <c r="Q25" s="58"/>
      <c r="R25" s="49" t="s">
        <v>2001</v>
      </c>
      <c r="S25" s="42" t="str" cm="1">
        <f t="array" ref="S25">getDocumentDPNumber(R25,B25)</f>
        <v>1LP-DP70</v>
      </c>
    </row>
    <row r="26" spans="1:19" s="38" customFormat="1" x14ac:dyDescent="0.25">
      <c r="A26" s="46" t="s">
        <v>1868</v>
      </c>
      <c r="B26" s="47">
        <f>IFERROR(MATCH(GetTable[[#This Row],[Acrobat file]],GetFileNames[],0),"0")</f>
        <v>23</v>
      </c>
      <c r="C26" s="53" t="str" cm="1">
        <f t="array" ref="C26">getDocumentName(A26,B26)</f>
        <v>079322C-GWP5B-100-CS-KMD-09710-M-0011</v>
      </c>
      <c r="D26" s="46" t="s">
        <v>1863</v>
      </c>
      <c r="E26" s="53" t="str">
        <f>getDocumentTitle(D26,B26)</f>
        <v>1-TMS-001-Secondary Structure A.1S1.PL-08B-8</v>
      </c>
      <c r="F26" s="48" t="s">
        <v>43</v>
      </c>
      <c r="G26" s="53" t="str" cm="1">
        <f t="array" ref="G26">getDocumentRevision(F26,B26)</f>
        <v>01</v>
      </c>
      <c r="H26" s="49" t="s">
        <v>1864</v>
      </c>
      <c r="I26" s="53" t="str" cm="1">
        <f t="array" ref="I26">getDocumentRevisionDate(H26,B26)</f>
        <v>14/09/2021</v>
      </c>
      <c r="J26" s="49" t="s">
        <v>38</v>
      </c>
      <c r="K26" s="56" t="str" cm="1">
        <f t="array" ref="K26">getDocumentRevisionDescription(J26,I26,B26)</f>
        <v>IFC - ISSUED FOR CONSTRUCTION / ВЫПУЩЕНО ДЛЯ СТРОИТЕЛЬСТВА</v>
      </c>
      <c r="L26" s="49" t="s">
        <v>1865</v>
      </c>
      <c r="M26" s="56" t="str" cm="1">
        <f t="array" ref="M26">getDocumentFormat(B26)</f>
        <v>A2¤A4</v>
      </c>
      <c r="N26" s="49">
        <v>2</v>
      </c>
      <c r="O26" s="56" t="str" cm="1">
        <f t="array" ref="O26">getDocumentSheetsQuantity(B26)</f>
        <v>2</v>
      </c>
      <c r="P26" s="49" t="s">
        <v>1867</v>
      </c>
      <c r="Q26" s="58"/>
      <c r="R26" s="49" t="s">
        <v>2000</v>
      </c>
      <c r="S26" s="58" t="str" cm="1">
        <f t="array" ref="S26">getDocumentDPNumber(R26,B26)</f>
        <v>NOT FOUND!</v>
      </c>
    </row>
    <row r="27" spans="1:19" s="38" customFormat="1" x14ac:dyDescent="0.25">
      <c r="A27" s="46" t="s">
        <v>1869</v>
      </c>
      <c r="B27" s="47">
        <f>IFERROR(MATCH(GetTable[[#This Row],[Acrobat file]],GetFileNames[],0),"0")</f>
        <v>24</v>
      </c>
      <c r="C27" s="53" t="str" cm="1">
        <f t="array" ref="C27">getDocumentName(A27,B27)</f>
        <v>079322C-GWP5B-100-CS-KMD-09710-M-0016</v>
      </c>
      <c r="D27" s="46" t="s">
        <v>1870</v>
      </c>
      <c r="E27" s="53" t="str">
        <f>getDocumentTitle(D27,B27)</f>
        <v>1-TMS-001-Secondary Structure A.1S1.PL-10B-4</v>
      </c>
      <c r="F27" s="48" t="s">
        <v>43</v>
      </c>
      <c r="G27" s="53" t="str" cm="1">
        <f t="array" ref="G27">getDocumentRevision(F27,B27)</f>
        <v>01</v>
      </c>
      <c r="H27" s="49" t="s">
        <v>1864</v>
      </c>
      <c r="I27" s="53" t="str" cm="1">
        <f t="array" ref="I27">getDocumentRevisionDate(H27,B27)</f>
        <v>14/09/2021</v>
      </c>
      <c r="J27" s="49" t="s">
        <v>38</v>
      </c>
      <c r="K27" s="56" t="str" cm="1">
        <f t="array" ref="K27">getDocumentRevisionDescription(J27,I27,B27)</f>
        <v>IFC - ISSUED FOR CONSTRUCTION / ВЫПУЩЕНО ДЛЯ СТРОИТЕЛЬСТВА</v>
      </c>
      <c r="L27" s="49" t="s">
        <v>1865</v>
      </c>
      <c r="M27" s="56" t="str" cm="1">
        <f t="array" ref="M27">getDocumentFormat(B27)</f>
        <v>A2¤A4</v>
      </c>
      <c r="N27" s="49">
        <v>2</v>
      </c>
      <c r="O27" s="56" t="str" cm="1">
        <f t="array" ref="O27">getDocumentSheetsQuantity(B27)</f>
        <v>2</v>
      </c>
      <c r="P27" s="49" t="s">
        <v>1871</v>
      </c>
      <c r="Q27" s="58"/>
      <c r="R27" s="49" t="s">
        <v>2000</v>
      </c>
      <c r="S27" s="58" t="str" cm="1">
        <f t="array" ref="S27">getDocumentDPNumber(R27,B27)</f>
        <v>NOT FOUND!</v>
      </c>
    </row>
    <row r="28" spans="1:19" s="38" customFormat="1" x14ac:dyDescent="0.25">
      <c r="A28" s="46" t="s">
        <v>1920</v>
      </c>
      <c r="B28" s="47">
        <f>IFERROR(MATCH(GetTable[[#This Row],[Acrobat file]],GetFileNames[],0),"0")</f>
        <v>25</v>
      </c>
      <c r="C28" s="53" t="str" cm="1">
        <f t="array" ref="C28">getDocumentName(A28,B28)</f>
        <v>079322C-GWP5B-100-CS-KMD-09710-M-0023</v>
      </c>
      <c r="D28" s="46" t="s">
        <v>1918</v>
      </c>
      <c r="E28" s="53" t="str">
        <f>getDocumentTitle(D28,B28)</f>
        <v>1-TMS-001-Secondary Structure A.1S1.PL-15B-8</v>
      </c>
      <c r="F28" s="48" t="s">
        <v>43</v>
      </c>
      <c r="G28" s="53" t="str" cm="1">
        <f t="array" ref="G28">getDocumentRevision(F28,B28)</f>
        <v>01</v>
      </c>
      <c r="H28" s="49" t="s">
        <v>1864</v>
      </c>
      <c r="I28" s="53" t="str" cm="1">
        <f t="array" ref="I28">getDocumentRevisionDate(H28,B28)</f>
        <v>14/09/2021</v>
      </c>
      <c r="J28" s="49" t="s">
        <v>38</v>
      </c>
      <c r="K28" s="56" t="str" cm="1">
        <f t="array" ref="K28">getDocumentRevisionDescription(J28,I28,B28)</f>
        <v>IFC - ISSUED FOR CONSTRUCTION / ВЫПУЩЕНО ДЛЯ СТРОИТЕЛЬСТВА</v>
      </c>
      <c r="L28" s="49" t="s">
        <v>1865</v>
      </c>
      <c r="M28" s="57" t="str" cm="1">
        <f t="array" ref="M28">getDocumentFormat(B28)</f>
        <v>A2¤A3</v>
      </c>
      <c r="N28" s="49">
        <v>2</v>
      </c>
      <c r="O28" s="56" t="str" cm="1">
        <f t="array" ref="O28">getDocumentSheetsQuantity(B28)</f>
        <v>2</v>
      </c>
      <c r="P28" s="49" t="s">
        <v>1919</v>
      </c>
      <c r="Q28" s="58"/>
      <c r="R28" s="49" t="s">
        <v>2000</v>
      </c>
      <c r="S28" s="58" t="str" cm="1">
        <f t="array" ref="S28">getDocumentDPNumber(R28,B28)</f>
        <v>NOT FOUND!</v>
      </c>
    </row>
    <row r="29" spans="1:19" s="38" customFormat="1" x14ac:dyDescent="0.25">
      <c r="A29" s="46" t="s">
        <v>1924</v>
      </c>
      <c r="B29" s="47">
        <f>IFERROR(MATCH(GetTable[[#This Row],[Acrobat file]],GetFileNames[],0),"0")</f>
        <v>26</v>
      </c>
      <c r="C29" s="53" t="str" cm="1">
        <f t="array" ref="C29">getDocumentName(A29,B29)</f>
        <v>079322C-GWP5B-100-CS-KMD-09710-M-0024</v>
      </c>
      <c r="D29" s="46" t="s">
        <v>1922</v>
      </c>
      <c r="E29" s="53" t="str">
        <f>getDocumentTitle(D29,B29)</f>
        <v>1-TMS-001-Secondary Structure A.1S1.PL-15B-9</v>
      </c>
      <c r="F29" s="48" t="s">
        <v>43</v>
      </c>
      <c r="G29" s="53" t="str" cm="1">
        <f t="array" ref="G29">getDocumentRevision(F29,B29)</f>
        <v>01</v>
      </c>
      <c r="H29" s="49" t="s">
        <v>1864</v>
      </c>
      <c r="I29" s="53" t="str" cm="1">
        <f t="array" ref="I29">getDocumentRevisionDate(H29,B29)</f>
        <v>14/09/2021</v>
      </c>
      <c r="J29" s="49" t="s">
        <v>38</v>
      </c>
      <c r="K29" s="56" t="str" cm="1">
        <f t="array" ref="K29">getDocumentRevisionDescription(J29,I29,B29)</f>
        <v>IFC - ISSUED FOR CONSTRUCTION / ВЫПУЩЕНО ДЛЯ СТРОИТЕЛЬСТВА</v>
      </c>
      <c r="L29" s="49" t="s">
        <v>1865</v>
      </c>
      <c r="M29" s="57" t="str" cm="1">
        <f t="array" ref="M29">getDocumentFormat(B29)</f>
        <v>A2¤A3</v>
      </c>
      <c r="N29" s="49">
        <v>2</v>
      </c>
      <c r="O29" s="56" t="str" cm="1">
        <f t="array" ref="O29">getDocumentSheetsQuantity(B29)</f>
        <v>2</v>
      </c>
      <c r="P29" s="49" t="s">
        <v>1923</v>
      </c>
      <c r="Q29" s="58"/>
      <c r="R29" s="49" t="s">
        <v>2000</v>
      </c>
      <c r="S29" s="58" t="str" cm="1">
        <f t="array" ref="S29">getDocumentDPNumber(R29,B29)</f>
        <v>NOT FOUND!</v>
      </c>
    </row>
    <row r="30" spans="1:19" s="38" customFormat="1" x14ac:dyDescent="0.25">
      <c r="A30" s="46" t="s">
        <v>1929</v>
      </c>
      <c r="B30" s="47">
        <f>IFERROR(MATCH(GetTable[[#This Row],[Acrobat file]],GetFileNames[],0),"0")</f>
        <v>27</v>
      </c>
      <c r="C30" s="53" t="str" cm="1">
        <f t="array" ref="C30">getDocumentName(A30,B30)</f>
        <v>079322C-GWP5B-100-CS-KMD-09710-M-0048</v>
      </c>
      <c r="D30" s="46" t="s">
        <v>1926</v>
      </c>
      <c r="E30" s="53" t="str">
        <f>getDocumentTitle(D30,B30)</f>
        <v>1-TMS-001-Secondary Structure A.1S1.SB-164B-3</v>
      </c>
      <c r="F30" s="48" t="s">
        <v>43</v>
      </c>
      <c r="G30" s="53" t="str" cm="1">
        <f t="array" ref="G30">getDocumentRevision(F30,B30)</f>
        <v>01</v>
      </c>
      <c r="H30" s="49" t="s">
        <v>1864</v>
      </c>
      <c r="I30" s="53" t="str" cm="1">
        <f t="array" ref="I30">getDocumentRevisionDate(H30,B30)</f>
        <v>14/09/2021</v>
      </c>
      <c r="J30" s="49" t="s">
        <v>38</v>
      </c>
      <c r="K30" s="56" t="str" cm="1">
        <f t="array" ref="K30">getDocumentRevisionDescription(J30,I30,B30)</f>
        <v>IFC - ISSUED FOR CONSTRUCTION / ВЫПУЩЕНО ДЛЯ СТРОИТЕЛЬСТВА</v>
      </c>
      <c r="L30" s="49" t="s">
        <v>1927</v>
      </c>
      <c r="M30" s="57" t="str" cm="1">
        <f t="array" ref="M30">getDocumentFormat(B30)</f>
        <v>A2</v>
      </c>
      <c r="N30" s="49">
        <v>2</v>
      </c>
      <c r="O30" s="56" t="str" cm="1">
        <f t="array" ref="O30">getDocumentSheetsQuantity(B30)</f>
        <v>2</v>
      </c>
      <c r="P30" s="49" t="s">
        <v>1928</v>
      </c>
      <c r="Q30" s="58"/>
      <c r="R30" s="49" t="s">
        <v>2000</v>
      </c>
      <c r="S30" s="58" t="str" cm="1">
        <f t="array" ref="S30">getDocumentDPNumber(R30,B30)</f>
        <v>NOT FOUND!</v>
      </c>
    </row>
    <row r="31" spans="1:19" s="38" customFormat="1" x14ac:dyDescent="0.25">
      <c r="A31" s="46" t="s">
        <v>1933</v>
      </c>
      <c r="B31" s="47">
        <f>IFERROR(MATCH(GetTable[[#This Row],[Acrobat file]],GetFileNames[],0),"0")</f>
        <v>28</v>
      </c>
      <c r="C31" s="53" t="str" cm="1">
        <f t="array" ref="C31">getDocumentName(A31,B31)</f>
        <v>079322C-GWP5B-100-CS-KMD-09710-M-0049</v>
      </c>
      <c r="D31" s="46" t="s">
        <v>1931</v>
      </c>
      <c r="E31" s="53" t="str">
        <f>getDocumentTitle(D31,B31)</f>
        <v>1-TMS-001-Secondary Structure A.1S1.SB-176B-1</v>
      </c>
      <c r="F31" s="48" t="s">
        <v>43</v>
      </c>
      <c r="G31" s="53" t="str" cm="1">
        <f t="array" ref="G31">getDocumentRevision(F31,B31)</f>
        <v>01</v>
      </c>
      <c r="H31" s="49" t="s">
        <v>1864</v>
      </c>
      <c r="I31" s="53" t="str" cm="1">
        <f t="array" ref="I31">getDocumentRevisionDate(H31,B31)</f>
        <v>14/09/2021</v>
      </c>
      <c r="J31" s="49" t="s">
        <v>38</v>
      </c>
      <c r="K31" s="56" t="str" cm="1">
        <f t="array" ref="K31">getDocumentRevisionDescription(J31,I31,B31)</f>
        <v>IFC - ISSUED FOR CONSTRUCTION / ВЫПУЩЕНО ДЛЯ СТРОИТЕЛЬСТВА</v>
      </c>
      <c r="L31" s="49" t="s">
        <v>1927</v>
      </c>
      <c r="M31" s="57" t="str" cm="1">
        <f t="array" ref="M31">getDocumentFormat(B31)</f>
        <v>A2</v>
      </c>
      <c r="N31" s="49">
        <v>2</v>
      </c>
      <c r="O31" s="56" t="str" cm="1">
        <f t="array" ref="O31">getDocumentSheetsQuantity(B31)</f>
        <v>2</v>
      </c>
      <c r="P31" s="49" t="s">
        <v>1932</v>
      </c>
      <c r="Q31" s="58"/>
      <c r="R31" s="49" t="s">
        <v>2000</v>
      </c>
      <c r="S31" s="58" t="str" cm="1">
        <f t="array" ref="S31">getDocumentDPNumber(R31,B31)</f>
        <v>NOT FOUND!</v>
      </c>
    </row>
    <row r="32" spans="1:19" s="38" customFormat="1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</row>
    <row r="33" spans="1:19" s="38" customFormat="1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</row>
    <row r="34" spans="1:19" s="38" customFormat="1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</row>
    <row r="35" spans="1:19" s="38" customFormat="1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</row>
    <row r="36" spans="1:19" s="38" customFormat="1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</row>
    <row r="37" spans="1:19" s="38" customFormat="1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</row>
    <row r="38" spans="1:19" s="38" customFormat="1" x14ac:dyDescent="0.25">
      <c r="A38" s="10"/>
      <c r="B38" s="10"/>
      <c r="C38" s="10"/>
      <c r="D38" s="10"/>
      <c r="E38" s="15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</row>
    <row r="39" spans="1:19" s="38" customFormat="1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</row>
    <row r="40" spans="1:19" s="38" customFormat="1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</row>
    <row r="41" spans="1:19" s="38" customFormat="1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1:19" s="38" customFormat="1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</row>
    <row r="43" spans="1:19" s="38" customFormat="1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</row>
    <row r="44" spans="1:19" s="38" customFormat="1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</row>
    <row r="45" spans="1:19" s="38" customFormat="1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</row>
    <row r="46" spans="1:19" s="38" customFormat="1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</row>
    <row r="47" spans="1:19" s="38" customFormat="1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</row>
    <row r="48" spans="1:19" s="38" customFormat="1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</row>
    <row r="49" spans="1:19" s="38" customFormat="1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</row>
    <row r="50" spans="1:19" s="38" customFormat="1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</row>
    <row r="51" spans="1:19" s="38" customFormat="1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</row>
    <row r="52" spans="1:19" s="38" customFormat="1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</row>
    <row r="53" spans="1:19" s="38" customFormat="1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</row>
    <row r="54" spans="1:19" s="38" customFormat="1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</row>
    <row r="55" spans="1:19" s="38" customFormat="1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</row>
    <row r="56" spans="1:19" s="38" customFormat="1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</row>
    <row r="57" spans="1:19" s="38" customFormat="1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</row>
    <row r="58" spans="1:19" s="38" customFormat="1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1:19" s="38" customFormat="1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</row>
    <row r="60" spans="1:19" s="38" customFormat="1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</row>
    <row r="61" spans="1:19" s="38" customFormat="1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</row>
    <row r="62" spans="1:19" s="38" customFormat="1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</row>
    <row r="63" spans="1:19" s="38" customFormat="1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</row>
    <row r="64" spans="1:19" s="38" customFormat="1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</row>
    <row r="65" spans="1:19" s="38" customFormat="1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</row>
    <row r="66" spans="1:19" s="38" customFormat="1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</row>
    <row r="67" spans="1:19" s="38" customFormat="1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</row>
    <row r="68" spans="1:19" s="38" customFormat="1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</row>
    <row r="69" spans="1:19" s="38" customFormat="1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</row>
    <row r="70" spans="1:19" s="38" customFormat="1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</row>
    <row r="71" spans="1:19" s="38" customFormat="1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</row>
    <row r="72" spans="1:19" s="38" customFormat="1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</row>
    <row r="73" spans="1:19" s="38" customFormat="1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</row>
    <row r="74" spans="1:19" s="38" customFormat="1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</row>
    <row r="75" spans="1:19" s="38" customFormat="1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</row>
  </sheetData>
  <mergeCells count="9">
    <mergeCell ref="N2:O2"/>
    <mergeCell ref="P2:Q2"/>
    <mergeCell ref="R2:S2"/>
    <mergeCell ref="J2:K2"/>
    <mergeCell ref="A2:C2"/>
    <mergeCell ref="D2:E2"/>
    <mergeCell ref="F2:G2"/>
    <mergeCell ref="H2:I2"/>
    <mergeCell ref="L2:M2"/>
  </mergeCells>
  <phoneticPr fontId="18" type="noConversion"/>
  <conditionalFormatting sqref="G1">
    <cfRule type="dataBar" priority="3">
      <dataBar>
        <cfvo type="num" val="0"/>
        <cfvo type="num" val="$A$1"/>
        <color rgb="FFF48F66"/>
      </dataBar>
      <extLst>
        <ext xmlns:x14="http://schemas.microsoft.com/office/spreadsheetml/2009/9/main" uri="{B025F937-C7B1-47D3-B67F-A62EFF666E3E}">
          <x14:id>{B590A880-D667-46D1-A913-BC67887C2B53}</x14:id>
        </ext>
      </extLst>
    </cfRule>
  </conditionalFormatting>
  <conditionalFormatting sqref="D1">
    <cfRule type="dataBar" priority="2">
      <dataBar>
        <cfvo type="num" val="0"/>
        <cfvo type="num" val="$A$1"/>
        <color rgb="FFB0F868"/>
      </dataBar>
      <extLst>
        <ext xmlns:x14="http://schemas.microsoft.com/office/spreadsheetml/2009/9/main" uri="{B025F937-C7B1-47D3-B67F-A62EFF666E3E}">
          <x14:id>{B3FA6144-7D84-459B-9E0B-1E99773E5466}</x14:id>
        </ext>
      </extLst>
    </cfRule>
  </conditionalFormatting>
  <conditionalFormatting sqref="F1">
    <cfRule type="dataBar" priority="1">
      <dataBar>
        <cfvo type="num" val="0"/>
        <cfvo type="num" val="$A$1"/>
        <color rgb="FFF48F66"/>
      </dataBar>
      <extLst>
        <ext xmlns:x14="http://schemas.microsoft.com/office/spreadsheetml/2009/9/main" uri="{B025F937-C7B1-47D3-B67F-A62EFF666E3E}">
          <x14:id>{F80FA50C-9BCE-4981-8F5D-7A3C2C6854C1}</x14:id>
        </ext>
      </extLst>
    </cfRule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590A880-D667-46D1-A913-BC67887C2B53}">
            <x14:dataBar minLength="0" maxLength="100" gradient="0">
              <x14:cfvo type="num">
                <xm:f>0</xm:f>
              </x14:cfvo>
              <x14:cfvo type="num">
                <xm:f>$A$1</xm:f>
              </x14:cfvo>
              <x14:negativeFillColor rgb="FFFF0000"/>
              <x14:axisColor rgb="FF000000"/>
            </x14:dataBar>
          </x14:cfRule>
          <xm:sqref>G1</xm:sqref>
        </x14:conditionalFormatting>
        <x14:conditionalFormatting xmlns:xm="http://schemas.microsoft.com/office/excel/2006/main">
          <x14:cfRule type="dataBar" id="{B3FA6144-7D84-459B-9E0B-1E99773E5466}">
            <x14:dataBar minLength="0" maxLength="100" gradient="0">
              <x14:cfvo type="num">
                <xm:f>0</xm:f>
              </x14:cfvo>
              <x14:cfvo type="num">
                <xm:f>$A$1</xm:f>
              </x14:cfvo>
              <x14:negativeFillColor rgb="FFFF0000"/>
              <x14:axisColor rgb="FF000000"/>
            </x14:dataBar>
          </x14:cfRule>
          <xm:sqref>D1</xm:sqref>
        </x14:conditionalFormatting>
        <x14:conditionalFormatting xmlns:xm="http://schemas.microsoft.com/office/excel/2006/main">
          <x14:cfRule type="dataBar" id="{F80FA50C-9BCE-4981-8F5D-7A3C2C6854C1}">
            <x14:dataBar minLength="0" maxLength="100" gradient="0">
              <x14:cfvo type="num">
                <xm:f>0</xm:f>
              </x14:cfvo>
              <x14:cfvo type="num">
                <xm:f>$A$1</xm:f>
              </x14:cfvo>
              <x14:negativeFillColor rgb="FFFF0000"/>
              <x14:axisColor rgb="FF000000"/>
            </x14:dataBar>
          </x14:cfRule>
          <xm:sqref>F1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BDA8166B378F3499C4B098ABB3CF630" ma:contentTypeVersion="2" ma:contentTypeDescription="Create a new document." ma:contentTypeScope="" ma:versionID="89cd125771a199a895e43e9c4856c66b">
  <xsd:schema xmlns:xsd="http://www.w3.org/2001/XMLSchema" xmlns:xs="http://www.w3.org/2001/XMLSchema" xmlns:p="http://schemas.microsoft.com/office/2006/metadata/properties" xmlns:ns2="31d397da-b7df-4110-ab96-ab60b7f606b3" targetNamespace="http://schemas.microsoft.com/office/2006/metadata/properties" ma:root="true" ma:fieldsID="ad4d2e1fcb3c538052bc00d4a974a151" ns2:_="">
    <xsd:import namespace="31d397da-b7df-4110-ab96-ab60b7f606b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d397da-b7df-4110-ab96-ab60b7f606b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662D59D7-FC30-49D3-8B13-A432376A7D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1d397da-b7df-4110-ab96-ab60b7f606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EDC031A-9F2D-4991-9B6D-167F6A0AD6C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EBC19B3-8E94-439F-AF9E-6CFB2794B8CD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CB20B191-9C19-46B1-BC20-DCBB9642EE5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AWP1A-VLS-KMD</vt:lpstr>
      <vt:lpstr>PDFContent_sheet</vt:lpstr>
      <vt:lpstr>CheckTable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Sergey Glazkov-NAC</dc:creator>
  <cp:keywords/>
  <dc:description/>
  <cp:lastModifiedBy>Sergey Glazkov-NAC</cp:lastModifiedBy>
  <cp:revision/>
  <dcterms:created xsi:type="dcterms:W3CDTF">2021-08-02T17:30:16Z</dcterms:created>
  <dcterms:modified xsi:type="dcterms:W3CDTF">2021-09-28T13:51:33Z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b48b937-0ae3-46f5-b32e-f3232b5be847_Enabled">
    <vt:lpwstr>True</vt:lpwstr>
  </property>
  <property fmtid="{D5CDD505-2E9C-101B-9397-08002B2CF9AE}" pid="3" name="MSIP_Label_3b48b937-0ae3-46f5-b32e-f3232b5be847_SiteId">
    <vt:lpwstr>9179d01a-e94c-4488-b5f0-4554bc474f8c</vt:lpwstr>
  </property>
  <property fmtid="{D5CDD505-2E9C-101B-9397-08002B2CF9AE}" pid="4" name="MSIP_Label_3b48b937-0ae3-46f5-b32e-f3232b5be847_Owner">
    <vt:lpwstr>maria.gusinkina-nac@naclng.com</vt:lpwstr>
  </property>
  <property fmtid="{D5CDD505-2E9C-101B-9397-08002B2CF9AE}" pid="5" name="MSIP_Label_3b48b937-0ae3-46f5-b32e-f3232b5be847_SetDate">
    <vt:lpwstr>2021-09-01T15:24:37.3521750Z</vt:lpwstr>
  </property>
  <property fmtid="{D5CDD505-2E9C-101B-9397-08002B2CF9AE}" pid="6" name="MSIP_Label_3b48b937-0ae3-46f5-b32e-f3232b5be847_Name">
    <vt:lpwstr>General</vt:lpwstr>
  </property>
  <property fmtid="{D5CDD505-2E9C-101B-9397-08002B2CF9AE}" pid="7" name="MSIP_Label_3b48b937-0ae3-46f5-b32e-f3232b5be847_Application">
    <vt:lpwstr>Microsoft Azure Information Protection</vt:lpwstr>
  </property>
  <property fmtid="{D5CDD505-2E9C-101B-9397-08002B2CF9AE}" pid="8" name="MSIP_Label_3b48b937-0ae3-46f5-b32e-f3232b5be847_ActionId">
    <vt:lpwstr>a0272811-6ff2-400f-87fb-a2fa7caea962</vt:lpwstr>
  </property>
  <property fmtid="{D5CDD505-2E9C-101B-9397-08002B2CF9AE}" pid="9" name="MSIP_Label_3b48b937-0ae3-46f5-b32e-f3232b5be847_Extended_MSFT_Method">
    <vt:lpwstr>Automatic</vt:lpwstr>
  </property>
  <property fmtid="{D5CDD505-2E9C-101B-9397-08002B2CF9AE}" pid="10" name="MSIP_Label_b29603fb-7fab-4bf6-8ed3-004985bb9d91_Enabled">
    <vt:lpwstr>True</vt:lpwstr>
  </property>
  <property fmtid="{D5CDD505-2E9C-101B-9397-08002B2CF9AE}" pid="11" name="MSIP_Label_b29603fb-7fab-4bf6-8ed3-004985bb9d91_SiteId">
    <vt:lpwstr>9179d01a-e94c-4488-b5f0-4554bc474f8c</vt:lpwstr>
  </property>
  <property fmtid="{D5CDD505-2E9C-101B-9397-08002B2CF9AE}" pid="12" name="MSIP_Label_b29603fb-7fab-4bf6-8ed3-004985bb9d91_Owner">
    <vt:lpwstr>maria.gusinkina-nac@naclng.com</vt:lpwstr>
  </property>
  <property fmtid="{D5CDD505-2E9C-101B-9397-08002B2CF9AE}" pid="13" name="MSIP_Label_b29603fb-7fab-4bf6-8ed3-004985bb9d91_SetDate">
    <vt:lpwstr>2021-09-01T15:24:37.3521750Z</vt:lpwstr>
  </property>
  <property fmtid="{D5CDD505-2E9C-101B-9397-08002B2CF9AE}" pid="14" name="MSIP_Label_b29603fb-7fab-4bf6-8ed3-004985bb9d91_Name">
    <vt:lpwstr>Anyone - No Protection</vt:lpwstr>
  </property>
  <property fmtid="{D5CDD505-2E9C-101B-9397-08002B2CF9AE}" pid="15" name="MSIP_Label_b29603fb-7fab-4bf6-8ed3-004985bb9d91_Application">
    <vt:lpwstr>Microsoft Azure Information Protection</vt:lpwstr>
  </property>
  <property fmtid="{D5CDD505-2E9C-101B-9397-08002B2CF9AE}" pid="16" name="MSIP_Label_b29603fb-7fab-4bf6-8ed3-004985bb9d91_ActionId">
    <vt:lpwstr>a0272811-6ff2-400f-87fb-a2fa7caea962</vt:lpwstr>
  </property>
  <property fmtid="{D5CDD505-2E9C-101B-9397-08002B2CF9AE}" pid="17" name="MSIP_Label_b29603fb-7fab-4bf6-8ed3-004985bb9d91_Parent">
    <vt:lpwstr>3b48b937-0ae3-46f5-b32e-f3232b5be847</vt:lpwstr>
  </property>
  <property fmtid="{D5CDD505-2E9C-101B-9397-08002B2CF9AE}" pid="18" name="MSIP_Label_b29603fb-7fab-4bf6-8ed3-004985bb9d91_Extended_MSFT_Method">
    <vt:lpwstr>Automatic</vt:lpwstr>
  </property>
  <property fmtid="{D5CDD505-2E9C-101B-9397-08002B2CF9AE}" pid="19" name="Sensitivity">
    <vt:lpwstr>General Anyone - No Protection</vt:lpwstr>
  </property>
  <property fmtid="{D5CDD505-2E9C-101B-9397-08002B2CF9AE}" pid="20" name="ContentTypeId">
    <vt:lpwstr>0x010100BBDA8166B378F3499C4B098ABB3CF630</vt:lpwstr>
  </property>
</Properties>
</file>